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Data" sheetId="1" state="visible" r:id="rId1"/>
    <sheet xmlns:r="http://schemas.openxmlformats.org/officeDocument/2006/relationships" name="Dashboard &amp; Summary" sheetId="2" state="visible" r:id="rId2"/>
  </sheets>
  <definedNames>
    <definedName name="_xlnm._FilterDatabase" localSheetId="0" hidden="1">'Shipment Data'!$A$1:$O$501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6"/>
    </font>
    <font>
      <name val="Calibri"/>
      <i val="1"/>
      <color rgb="004B5563"/>
      <sz val="11"/>
    </font>
    <font>
      <name val="Calibri"/>
      <b val="1"/>
      <color rgb="004B5563"/>
      <sz val="9"/>
    </font>
    <font>
      <name val="Calibri"/>
      <b val="1"/>
      <color rgb="001F2937"/>
      <sz val="18"/>
    </font>
    <font>
      <name val="Calibri"/>
      <b val="1"/>
      <color rgb="001F2937"/>
      <sz val="13"/>
    </font>
    <font>
      <name val="Calibri"/>
      <b val="1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F3F4F6"/>
        <bgColor rgb="00F3F4F6"/>
      </patternFill>
    </fill>
    <fill>
      <patternFill patternType="solid">
        <fgColor rgb="00E5E7EB"/>
        <bgColor rgb="00E5E7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1F2937"/>
      </top>
      <bottom style="double">
        <color rgb="001F293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7" fillId="5" borderId="2" pivotButton="0" quotePrefix="0" xfId="0"/>
    <xf numFmtId="3" fontId="7" fillId="5" borderId="2" pivotButton="0" quotePrefix="0" xfId="0"/>
    <xf numFmtId="164" fontId="7" fillId="5" borderId="2" pivotButton="0" quotePrefix="0" xfId="0"/>
    <xf numFmtId="166" fontId="7" fillId="5" borderId="2" pivotButton="0" quotePrefix="0" xfId="0"/>
    <xf numFmtId="165" fontId="7" fillId="5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D1FAE5"/>
          <bgColor rgb="00D1FAE5"/>
        </patternFill>
      </fill>
    </dxf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Freight Spend by Carrier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&amp; Summary'!C9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Summary'!$A$10:$A$12</f>
            </numRef>
          </cat>
          <val>
            <numRef>
              <f>'Dashboard &amp; Summary'!$C$10:$C$12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Carrier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9" customWidth="1" min="5" max="5"/>
    <col width="12" customWidth="1" min="6" max="6"/>
    <col width="17" customWidth="1" min="7" max="7"/>
    <col width="14" customWidth="1" min="8" max="8"/>
    <col width="19" customWidth="1" min="9" max="9"/>
    <col width="18" customWidth="1" min="10" max="10"/>
    <col width="16" customWidth="1" min="11" max="11"/>
    <col width="14" customWidth="1" min="12" max="12"/>
    <col width="18" customWidth="1" min="13" max="13"/>
    <col width="18" customWidth="1" min="14" max="14"/>
    <col width="62" customWidth="1" min="15" max="15"/>
  </cols>
  <sheetData>
    <row r="1">
      <c r="A1" s="1" t="inlineStr">
        <is>
          <t>Shipment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Origin Hub</t>
        </is>
      </c>
      <c r="E1" s="1" t="inlineStr">
        <is>
          <t>Destination City</t>
        </is>
      </c>
      <c r="F1" s="1" t="inlineStr">
        <is>
          <t>Carrier</t>
        </is>
      </c>
      <c r="G1" s="1" t="inlineStr">
        <is>
          <t>Transport Mode</t>
        </is>
      </c>
      <c r="H1" s="1" t="inlineStr">
        <is>
          <t>Weight (KG)</t>
        </is>
      </c>
      <c r="I1" s="1" t="inlineStr">
        <is>
          <t>Freight Cost ($)</t>
        </is>
      </c>
      <c r="J1" s="1" t="inlineStr">
        <is>
          <t>Delivery Status</t>
        </is>
      </c>
      <c r="K1" s="1" t="inlineStr">
        <is>
          <t>Promised Days</t>
        </is>
      </c>
      <c r="L1" s="1" t="inlineStr">
        <is>
          <t>Actual Days</t>
        </is>
      </c>
      <c r="M1" s="1" t="inlineStr">
        <is>
          <t>Processing Days</t>
        </is>
      </c>
      <c r="N1" s="1" t="inlineStr">
        <is>
          <t>Cost per KG ($)</t>
        </is>
      </c>
      <c r="O1" s="1" t="inlineStr">
        <is>
          <t>On-Time Status</t>
        </is>
      </c>
    </row>
    <row r="2">
      <c r="A2" s="2" t="inlineStr">
        <is>
          <t>SHP-1001</t>
        </is>
      </c>
      <c r="B2" s="2" t="inlineStr">
        <is>
          <t>2026-02-10</t>
        </is>
      </c>
      <c r="C2" s="2" t="inlineStr">
        <is>
          <t>2026-02-10</t>
        </is>
      </c>
      <c r="D2" s="3" t="inlineStr">
        <is>
          <t>Hub-East</t>
        </is>
      </c>
      <c r="E2" s="3" t="inlineStr">
        <is>
          <t>Kolkata</t>
        </is>
      </c>
      <c r="F2" s="3" t="inlineStr">
        <is>
          <t>SwiftLog</t>
        </is>
      </c>
      <c r="G2" s="3" t="inlineStr">
        <is>
          <t>Ground</t>
        </is>
      </c>
      <c r="H2" s="4" t="n">
        <v>221</v>
      </c>
      <c r="I2" s="5" t="n">
        <v>8780.200000000001</v>
      </c>
      <c r="J2" s="2" t="inlineStr">
        <is>
          <t>Delivered</t>
        </is>
      </c>
      <c r="K2" s="4" t="n">
        <v>5</v>
      </c>
      <c r="L2" s="4" t="n">
        <v>6</v>
      </c>
      <c r="M2" s="4">
        <f>C2-B2</f>
        <v/>
      </c>
      <c r="N2" s="5">
        <f>I2/H2</f>
        <v/>
      </c>
      <c r="O2" s="2">
        <f>IF(J2="Cancelled","N/A",IF(L2&lt;=K2,"On Time","Late"))</f>
        <v/>
      </c>
    </row>
    <row r="3">
      <c r="A3" s="6" t="inlineStr">
        <is>
          <t>SHP-1002</t>
        </is>
      </c>
      <c r="B3" s="6" t="inlineStr">
        <is>
          <t>2026-01-28</t>
        </is>
      </c>
      <c r="C3" s="6" t="inlineStr">
        <is>
          <t>2026-01-28</t>
        </is>
      </c>
      <c r="D3" s="7" t="inlineStr">
        <is>
          <t>Hub-East</t>
        </is>
      </c>
      <c r="E3" s="7" t="inlineStr">
        <is>
          <t>Delhi</t>
        </is>
      </c>
      <c r="F3" s="7" t="inlineStr">
        <is>
          <t>SwiftLog</t>
        </is>
      </c>
      <c r="G3" s="7" t="inlineStr">
        <is>
          <t>Ground</t>
        </is>
      </c>
      <c r="H3" s="8" t="n">
        <v>408</v>
      </c>
      <c r="I3" s="9" t="n">
        <v>15112.47</v>
      </c>
      <c r="J3" s="6" t="inlineStr">
        <is>
          <t>Delivered</t>
        </is>
      </c>
      <c r="K3" s="8" t="n">
        <v>5</v>
      </c>
      <c r="L3" s="8" t="n">
        <v>7</v>
      </c>
      <c r="M3" s="8">
        <f>C3-B3</f>
        <v/>
      </c>
      <c r="N3" s="9">
        <f>I3/H3</f>
        <v/>
      </c>
      <c r="O3" s="6">
        <f>IF(J3="Cancelled","N/A",IF(L3&lt;=K3,"On Time","Late"))</f>
        <v/>
      </c>
    </row>
    <row r="4">
      <c r="A4" s="2" t="inlineStr">
        <is>
          <t>SHP-1003</t>
        </is>
      </c>
      <c r="B4" s="2" t="inlineStr">
        <is>
          <t>2026-02-11</t>
        </is>
      </c>
      <c r="C4" s="2" t="inlineStr">
        <is>
          <t>2026-02-13</t>
        </is>
      </c>
      <c r="D4" s="3" t="inlineStr">
        <is>
          <t>Hub-South</t>
        </is>
      </c>
      <c r="E4" s="3" t="inlineStr">
        <is>
          <t>Chennai</t>
        </is>
      </c>
      <c r="F4" s="3" t="inlineStr">
        <is>
          <t>MetroEx</t>
        </is>
      </c>
      <c r="G4" s="3" t="inlineStr">
        <is>
          <t>Rail</t>
        </is>
      </c>
      <c r="H4" s="4" t="n">
        <v>1069</v>
      </c>
      <c r="I4" s="5" t="n">
        <v>21480.81</v>
      </c>
      <c r="J4" s="2" t="inlineStr">
        <is>
          <t>Delivered</t>
        </is>
      </c>
      <c r="K4" s="4" t="n">
        <v>5</v>
      </c>
      <c r="L4" s="4" t="n">
        <v>7</v>
      </c>
      <c r="M4" s="4">
        <f>C4-B4</f>
        <v/>
      </c>
      <c r="N4" s="5">
        <f>I4/H4</f>
        <v/>
      </c>
      <c r="O4" s="2">
        <f>IF(J4="Cancelled","N/A",IF(L4&lt;=K4,"On Time","Late"))</f>
        <v/>
      </c>
    </row>
    <row r="5">
      <c r="A5" s="6" t="inlineStr">
        <is>
          <t>SHP-1004</t>
        </is>
      </c>
      <c r="B5" s="6" t="inlineStr">
        <is>
          <t>2026-01-28</t>
        </is>
      </c>
      <c r="C5" s="6" t="inlineStr">
        <is>
          <t>2026-01-29</t>
        </is>
      </c>
      <c r="D5" s="7" t="inlineStr">
        <is>
          <t>Hub-North</t>
        </is>
      </c>
      <c r="E5" s="7" t="inlineStr">
        <is>
          <t>Bangalore</t>
        </is>
      </c>
      <c r="F5" s="7" t="inlineStr">
        <is>
          <t>SwiftLog</t>
        </is>
      </c>
      <c r="G5" s="7" t="inlineStr">
        <is>
          <t>Air</t>
        </is>
      </c>
      <c r="H5" s="8" t="n">
        <v>36</v>
      </c>
      <c r="I5" s="9" t="n">
        <v>3176.86</v>
      </c>
      <c r="J5" s="6" t="inlineStr">
        <is>
          <t>Delayed</t>
        </is>
      </c>
      <c r="K5" s="8" t="n">
        <v>1</v>
      </c>
      <c r="L5" s="8" t="n">
        <v>5</v>
      </c>
      <c r="M5" s="8">
        <f>C5-B5</f>
        <v/>
      </c>
      <c r="N5" s="9">
        <f>I5/H5</f>
        <v/>
      </c>
      <c r="O5" s="6">
        <f>IF(J5="Cancelled","N/A",IF(L5&lt;=K5,"On Time","Late"))</f>
        <v/>
      </c>
    </row>
    <row r="6">
      <c r="A6" s="2" t="inlineStr">
        <is>
          <t>SHP-1005</t>
        </is>
      </c>
      <c r="B6" s="2" t="inlineStr">
        <is>
          <t>2026-02-08</t>
        </is>
      </c>
      <c r="C6" s="2" t="inlineStr">
        <is>
          <t>2026-02-09</t>
        </is>
      </c>
      <c r="D6" s="3" t="inlineStr">
        <is>
          <t>Hub-East</t>
        </is>
      </c>
      <c r="E6" s="3" t="inlineStr">
        <is>
          <t>Pune</t>
        </is>
      </c>
      <c r="F6" s="3" t="inlineStr">
        <is>
          <t>ApexCargo</t>
        </is>
      </c>
      <c r="G6" s="3" t="inlineStr">
        <is>
          <t>Ground</t>
        </is>
      </c>
      <c r="H6" s="4" t="n">
        <v>343</v>
      </c>
      <c r="I6" s="5" t="n">
        <v>9115.57</v>
      </c>
      <c r="J6" s="2" t="inlineStr">
        <is>
          <t>Delayed</t>
        </is>
      </c>
      <c r="K6" s="4" t="n">
        <v>4</v>
      </c>
      <c r="L6" s="4" t="n">
        <v>7</v>
      </c>
      <c r="M6" s="4">
        <f>C6-B6</f>
        <v/>
      </c>
      <c r="N6" s="5">
        <f>I6/H6</f>
        <v/>
      </c>
      <c r="O6" s="2">
        <f>IF(J6="Cancelled","N/A",IF(L6&lt;=K6,"On Time","Late"))</f>
        <v/>
      </c>
    </row>
    <row r="7">
      <c r="A7" s="6" t="inlineStr">
        <is>
          <t>SHP-1006</t>
        </is>
      </c>
      <c r="B7" s="6" t="inlineStr">
        <is>
          <t>2026-02-15</t>
        </is>
      </c>
      <c r="C7" s="6" t="inlineStr">
        <is>
          <t>2026-02-15</t>
        </is>
      </c>
      <c r="D7" s="7" t="inlineStr">
        <is>
          <t>Hub-East</t>
        </is>
      </c>
      <c r="E7" s="7" t="inlineStr">
        <is>
          <t>Chennai</t>
        </is>
      </c>
      <c r="F7" s="7" t="inlineStr">
        <is>
          <t>MetroEx</t>
        </is>
      </c>
      <c r="G7" s="7" t="inlineStr">
        <is>
          <t>Ground</t>
        </is>
      </c>
      <c r="H7" s="8" t="n">
        <v>587</v>
      </c>
      <c r="I7" s="9" t="n">
        <v>17407.97</v>
      </c>
      <c r="J7" s="6" t="inlineStr">
        <is>
          <t>In Transit</t>
        </is>
      </c>
      <c r="K7" s="8" t="n">
        <v>3</v>
      </c>
      <c r="L7" s="8" t="n">
        <v>3</v>
      </c>
      <c r="M7" s="8">
        <f>C7-B7</f>
        <v/>
      </c>
      <c r="N7" s="9">
        <f>I7/H7</f>
        <v/>
      </c>
      <c r="O7" s="6">
        <f>IF(J7="Cancelled","N/A",IF(L7&lt;=K7,"On Time","Late"))</f>
        <v/>
      </c>
    </row>
    <row r="8">
      <c r="A8" s="2" t="inlineStr">
        <is>
          <t>SHP-1007</t>
        </is>
      </c>
      <c r="B8" s="2" t="inlineStr">
        <is>
          <t>2026-01-18</t>
        </is>
      </c>
      <c r="C8" s="2" t="inlineStr">
        <is>
          <t>2026-01-19</t>
        </is>
      </c>
      <c r="D8" s="3" t="inlineStr">
        <is>
          <t>Hub-North</t>
        </is>
      </c>
      <c r="E8" s="3" t="inlineStr">
        <is>
          <t>Bangalore</t>
        </is>
      </c>
      <c r="F8" s="3" t="inlineStr">
        <is>
          <t>MetroEx</t>
        </is>
      </c>
      <c r="G8" s="3" t="inlineStr">
        <is>
          <t>Air</t>
        </is>
      </c>
      <c r="H8" s="4" t="n">
        <v>63</v>
      </c>
      <c r="I8" s="5" t="n">
        <v>6832.74</v>
      </c>
      <c r="J8" s="2" t="inlineStr">
        <is>
          <t>Delivered</t>
        </is>
      </c>
      <c r="K8" s="4" t="n">
        <v>1</v>
      </c>
      <c r="L8" s="4" t="n">
        <v>2</v>
      </c>
      <c r="M8" s="4">
        <f>C8-B8</f>
        <v/>
      </c>
      <c r="N8" s="5">
        <f>I8/H8</f>
        <v/>
      </c>
      <c r="O8" s="2">
        <f>IF(J8="Cancelled","N/A",IF(L8&lt;=K8,"On Time","Late"))</f>
        <v/>
      </c>
    </row>
    <row r="9">
      <c r="A9" s="6" t="inlineStr">
        <is>
          <t>SHP-1008</t>
        </is>
      </c>
      <c r="B9" s="6" t="inlineStr">
        <is>
          <t>2026-01-16</t>
        </is>
      </c>
      <c r="C9" s="6" t="inlineStr">
        <is>
          <t>2026-01-16</t>
        </is>
      </c>
      <c r="D9" s="7" t="inlineStr">
        <is>
          <t>Hub-South</t>
        </is>
      </c>
      <c r="E9" s="7" t="inlineStr">
        <is>
          <t>Ahmedabad</t>
        </is>
      </c>
      <c r="F9" s="7" t="inlineStr">
        <is>
          <t>MetroEx</t>
        </is>
      </c>
      <c r="G9" s="7" t="inlineStr">
        <is>
          <t>Rail</t>
        </is>
      </c>
      <c r="H9" s="8" t="n">
        <v>1909</v>
      </c>
      <c r="I9" s="9" t="n">
        <v>33540.17</v>
      </c>
      <c r="J9" s="6" t="inlineStr">
        <is>
          <t>Delivered</t>
        </is>
      </c>
      <c r="K9" s="8" t="n">
        <v>7</v>
      </c>
      <c r="L9" s="8" t="n">
        <v>7</v>
      </c>
      <c r="M9" s="8">
        <f>C9-B9</f>
        <v/>
      </c>
      <c r="N9" s="9">
        <f>I9/H9</f>
        <v/>
      </c>
      <c r="O9" s="6">
        <f>IF(J9="Cancelled","N/A",IF(L9&lt;=K9,"On Time","Late"))</f>
        <v/>
      </c>
    </row>
    <row r="10">
      <c r="A10" s="2" t="inlineStr">
        <is>
          <t>SHP-1009</t>
        </is>
      </c>
      <c r="B10" s="2" t="inlineStr">
        <is>
          <t>2026-01-03</t>
        </is>
      </c>
      <c r="C10" s="2" t="inlineStr">
        <is>
          <t>2026-01-04</t>
        </is>
      </c>
      <c r="D10" s="3" t="inlineStr">
        <is>
          <t>Hub-South</t>
        </is>
      </c>
      <c r="E10" s="3" t="inlineStr">
        <is>
          <t>Kolkata</t>
        </is>
      </c>
      <c r="F10" s="3" t="inlineStr">
        <is>
          <t>SwiftLog</t>
        </is>
      </c>
      <c r="G10" s="3" t="inlineStr">
        <is>
          <t>Ground</t>
        </is>
      </c>
      <c r="H10" s="4" t="n">
        <v>440</v>
      </c>
      <c r="I10" s="5" t="n">
        <v>18712.04</v>
      </c>
      <c r="J10" s="2" t="inlineStr">
        <is>
          <t>Delivered</t>
        </is>
      </c>
      <c r="K10" s="4" t="n">
        <v>4</v>
      </c>
      <c r="L10" s="4" t="n">
        <v>6</v>
      </c>
      <c r="M10" s="4">
        <f>C10-B10</f>
        <v/>
      </c>
      <c r="N10" s="5">
        <f>I10/H10</f>
        <v/>
      </c>
      <c r="O10" s="2">
        <f>IF(J10="Cancelled","N/A",IF(L10&lt;=K10,"On Time","Late"))</f>
        <v/>
      </c>
    </row>
    <row r="11">
      <c r="A11" s="6" t="inlineStr">
        <is>
          <t>SHP-1010</t>
        </is>
      </c>
      <c r="B11" s="6" t="inlineStr">
        <is>
          <t>2026-02-01</t>
        </is>
      </c>
      <c r="C11" s="6" t="inlineStr">
        <is>
          <t>2026-02-02</t>
        </is>
      </c>
      <c r="D11" s="7" t="inlineStr">
        <is>
          <t>Hub-South</t>
        </is>
      </c>
      <c r="E11" s="7" t="inlineStr">
        <is>
          <t>Bangalore</t>
        </is>
      </c>
      <c r="F11" s="7" t="inlineStr">
        <is>
          <t>MetroEx</t>
        </is>
      </c>
      <c r="G11" s="7" t="inlineStr">
        <is>
          <t>Ground</t>
        </is>
      </c>
      <c r="H11" s="8" t="n">
        <v>276</v>
      </c>
      <c r="I11" s="9" t="n">
        <v>11012.34</v>
      </c>
      <c r="J11" s="6" t="inlineStr">
        <is>
          <t>Delivered</t>
        </is>
      </c>
      <c r="K11" s="8" t="n">
        <v>5</v>
      </c>
      <c r="L11" s="8" t="n">
        <v>7</v>
      </c>
      <c r="M11" s="8">
        <f>C11-B11</f>
        <v/>
      </c>
      <c r="N11" s="9">
        <f>I11/H11</f>
        <v/>
      </c>
      <c r="O11" s="6">
        <f>IF(J11="Cancelled","N/A",IF(L11&lt;=K11,"On Time","Late"))</f>
        <v/>
      </c>
    </row>
    <row r="12">
      <c r="A12" s="2" t="inlineStr">
        <is>
          <t>SHP-1011</t>
        </is>
      </c>
      <c r="B12" s="2" t="inlineStr">
        <is>
          <t>2026-02-07</t>
        </is>
      </c>
      <c r="C12" s="2" t="inlineStr">
        <is>
          <t>2026-02-08</t>
        </is>
      </c>
      <c r="D12" s="3" t="inlineStr">
        <is>
          <t>Hub-South</t>
        </is>
      </c>
      <c r="E12" s="3" t="inlineStr">
        <is>
          <t>Hyderabad</t>
        </is>
      </c>
      <c r="F12" s="3" t="inlineStr">
        <is>
          <t>SwiftLog</t>
        </is>
      </c>
      <c r="G12" s="3" t="inlineStr">
        <is>
          <t>Ground</t>
        </is>
      </c>
      <c r="H12" s="4" t="n">
        <v>410</v>
      </c>
      <c r="I12" s="5" t="n">
        <v>14296.83</v>
      </c>
      <c r="J12" s="2" t="inlineStr">
        <is>
          <t>Delivered</t>
        </is>
      </c>
      <c r="K12" s="4" t="n">
        <v>3</v>
      </c>
      <c r="L12" s="4" t="n">
        <v>3</v>
      </c>
      <c r="M12" s="4">
        <f>C12-B12</f>
        <v/>
      </c>
      <c r="N12" s="5">
        <f>I12/H12</f>
        <v/>
      </c>
      <c r="O12" s="2">
        <f>IF(J12="Cancelled","N/A",IF(L12&lt;=K12,"On Time","Late"))</f>
        <v/>
      </c>
    </row>
    <row r="13">
      <c r="A13" s="6" t="inlineStr">
        <is>
          <t>SHP-1012</t>
        </is>
      </c>
      <c r="B13" s="6" t="inlineStr">
        <is>
          <t>2026-02-10</t>
        </is>
      </c>
      <c r="C13" s="6" t="inlineStr">
        <is>
          <t>2026-02-10</t>
        </is>
      </c>
      <c r="D13" s="7" t="inlineStr">
        <is>
          <t>Hub-South</t>
        </is>
      </c>
      <c r="E13" s="7" t="inlineStr">
        <is>
          <t>Delhi</t>
        </is>
      </c>
      <c r="F13" s="7" t="inlineStr">
        <is>
          <t>MetroEx</t>
        </is>
      </c>
      <c r="G13" s="7" t="inlineStr">
        <is>
          <t>Air</t>
        </is>
      </c>
      <c r="H13" s="8" t="n">
        <v>129</v>
      </c>
      <c r="I13" s="9" t="n">
        <v>13353.95</v>
      </c>
      <c r="J13" s="6" t="inlineStr">
        <is>
          <t>Delivered</t>
        </is>
      </c>
      <c r="K13" s="8" t="n">
        <v>1</v>
      </c>
      <c r="L13" s="8" t="n">
        <v>3</v>
      </c>
      <c r="M13" s="8">
        <f>C13-B13</f>
        <v/>
      </c>
      <c r="N13" s="9">
        <f>I13/H13</f>
        <v/>
      </c>
      <c r="O13" s="6">
        <f>IF(J13="Cancelled","N/A",IF(L13&lt;=K13,"On Time","Late"))</f>
        <v/>
      </c>
    </row>
    <row r="14">
      <c r="A14" s="2" t="inlineStr">
        <is>
          <t>SHP-1013</t>
        </is>
      </c>
      <c r="B14" s="2" t="inlineStr">
        <is>
          <t>2026-02-04</t>
        </is>
      </c>
      <c r="C14" s="2" t="inlineStr">
        <is>
          <t>2026-02-05</t>
        </is>
      </c>
      <c r="D14" s="3" t="inlineStr">
        <is>
          <t>Hub-North</t>
        </is>
      </c>
      <c r="E14" s="3" t="inlineStr">
        <is>
          <t>Delhi</t>
        </is>
      </c>
      <c r="F14" s="3" t="inlineStr">
        <is>
          <t>MetroEx</t>
        </is>
      </c>
      <c r="G14" s="3" t="inlineStr">
        <is>
          <t>Air</t>
        </is>
      </c>
      <c r="H14" s="4" t="n">
        <v>50</v>
      </c>
      <c r="I14" s="5" t="n">
        <v>5044.02</v>
      </c>
      <c r="J14" s="2" t="inlineStr">
        <is>
          <t>Delivered</t>
        </is>
      </c>
      <c r="K14" s="4" t="n">
        <v>2</v>
      </c>
      <c r="L14" s="4" t="n">
        <v>3</v>
      </c>
      <c r="M14" s="4">
        <f>C14-B14</f>
        <v/>
      </c>
      <c r="N14" s="5">
        <f>I14/H14</f>
        <v/>
      </c>
      <c r="O14" s="2">
        <f>IF(J14="Cancelled","N/A",IF(L14&lt;=K14,"On Time","Late"))</f>
        <v/>
      </c>
    </row>
    <row r="15">
      <c r="A15" s="6" t="inlineStr">
        <is>
          <t>SHP-1014</t>
        </is>
      </c>
      <c r="B15" s="6" t="inlineStr">
        <is>
          <t>2026-01-07</t>
        </is>
      </c>
      <c r="C15" s="6" t="inlineStr">
        <is>
          <t>2026-01-08</t>
        </is>
      </c>
      <c r="D15" s="7" t="inlineStr">
        <is>
          <t>Hub-West</t>
        </is>
      </c>
      <c r="E15" s="7" t="inlineStr">
        <is>
          <t>Bangalore</t>
        </is>
      </c>
      <c r="F15" s="7" t="inlineStr">
        <is>
          <t>MetroEx</t>
        </is>
      </c>
      <c r="G15" s="7" t="inlineStr">
        <is>
          <t>Ground</t>
        </is>
      </c>
      <c r="H15" s="8" t="n">
        <v>426</v>
      </c>
      <c r="I15" s="9" t="n">
        <v>18773.82</v>
      </c>
      <c r="J15" s="6" t="inlineStr">
        <is>
          <t>Delivered</t>
        </is>
      </c>
      <c r="K15" s="8" t="n">
        <v>5</v>
      </c>
      <c r="L15" s="8" t="n">
        <v>6</v>
      </c>
      <c r="M15" s="8">
        <f>C15-B15</f>
        <v/>
      </c>
      <c r="N15" s="9">
        <f>I15/H15</f>
        <v/>
      </c>
      <c r="O15" s="6">
        <f>IF(J15="Cancelled","N/A",IF(L15&lt;=K15,"On Time","Late"))</f>
        <v/>
      </c>
    </row>
    <row r="16">
      <c r="A16" s="2" t="inlineStr">
        <is>
          <t>SHP-1015</t>
        </is>
      </c>
      <c r="B16" s="2" t="inlineStr">
        <is>
          <t>2026-01-21</t>
        </is>
      </c>
      <c r="C16" s="2" t="inlineStr">
        <is>
          <t>2026-01-22</t>
        </is>
      </c>
      <c r="D16" s="3" t="inlineStr">
        <is>
          <t>Hub-East</t>
        </is>
      </c>
      <c r="E16" s="3" t="inlineStr">
        <is>
          <t>Delhi</t>
        </is>
      </c>
      <c r="F16" s="3" t="inlineStr">
        <is>
          <t>MetroEx</t>
        </is>
      </c>
      <c r="G16" s="3" t="inlineStr">
        <is>
          <t>Air</t>
        </is>
      </c>
      <c r="H16" s="4" t="n">
        <v>71</v>
      </c>
      <c r="I16" s="5" t="n">
        <v>6178.94</v>
      </c>
      <c r="J16" s="2" t="inlineStr">
        <is>
          <t>Delivered</t>
        </is>
      </c>
      <c r="K16" s="4" t="n">
        <v>1</v>
      </c>
      <c r="L16" s="4" t="n">
        <v>3</v>
      </c>
      <c r="M16" s="4">
        <f>C16-B16</f>
        <v/>
      </c>
      <c r="N16" s="5">
        <f>I16/H16</f>
        <v/>
      </c>
      <c r="O16" s="2">
        <f>IF(J16="Cancelled","N/A",IF(L16&lt;=K16,"On Time","Late"))</f>
        <v/>
      </c>
    </row>
    <row r="17">
      <c r="A17" s="6" t="inlineStr">
        <is>
          <t>SHP-1016</t>
        </is>
      </c>
      <c r="B17" s="6" t="inlineStr">
        <is>
          <t>2026-02-01</t>
        </is>
      </c>
      <c r="C17" s="6" t="inlineStr">
        <is>
          <t>2026-02-01</t>
        </is>
      </c>
      <c r="D17" s="7" t="inlineStr">
        <is>
          <t>Hub-West</t>
        </is>
      </c>
      <c r="E17" s="7" t="inlineStr">
        <is>
          <t>Bangalore</t>
        </is>
      </c>
      <c r="F17" s="7" t="inlineStr">
        <is>
          <t>ApexCargo</t>
        </is>
      </c>
      <c r="G17" s="7" t="inlineStr">
        <is>
          <t>Air</t>
        </is>
      </c>
      <c r="H17" s="8" t="n">
        <v>150</v>
      </c>
      <c r="I17" s="9" t="n">
        <v>13616.92</v>
      </c>
      <c r="J17" s="6" t="inlineStr">
        <is>
          <t>Delivered</t>
        </is>
      </c>
      <c r="K17" s="8" t="n">
        <v>2</v>
      </c>
      <c r="L17" s="8" t="n">
        <v>3</v>
      </c>
      <c r="M17" s="8">
        <f>C17-B17</f>
        <v/>
      </c>
      <c r="N17" s="9">
        <f>I17/H17</f>
        <v/>
      </c>
      <c r="O17" s="6">
        <f>IF(J17="Cancelled","N/A",IF(L17&lt;=K17,"On Time","Late"))</f>
        <v/>
      </c>
    </row>
    <row r="18">
      <c r="A18" s="2" t="inlineStr">
        <is>
          <t>SHP-1017</t>
        </is>
      </c>
      <c r="B18" s="2" t="inlineStr">
        <is>
          <t>2026-02-14</t>
        </is>
      </c>
      <c r="C18" s="2" t="inlineStr">
        <is>
          <t>2026-02-14</t>
        </is>
      </c>
      <c r="D18" s="3" t="inlineStr">
        <is>
          <t>Hub-North</t>
        </is>
      </c>
      <c r="E18" s="3" t="inlineStr">
        <is>
          <t>Ahmedabad</t>
        </is>
      </c>
      <c r="F18" s="3" t="inlineStr">
        <is>
          <t>ApexCargo</t>
        </is>
      </c>
      <c r="G18" s="3" t="inlineStr">
        <is>
          <t>Rail</t>
        </is>
      </c>
      <c r="H18" s="4" t="n">
        <v>1264</v>
      </c>
      <c r="I18" s="5" t="n">
        <v>20705.59</v>
      </c>
      <c r="J18" s="2" t="inlineStr">
        <is>
          <t>Delivered</t>
        </is>
      </c>
      <c r="K18" s="4" t="n">
        <v>8</v>
      </c>
      <c r="L18" s="4" t="n">
        <v>8</v>
      </c>
      <c r="M18" s="4">
        <f>C18-B18</f>
        <v/>
      </c>
      <c r="N18" s="5">
        <f>I18/H18</f>
        <v/>
      </c>
      <c r="O18" s="2">
        <f>IF(J18="Cancelled","N/A",IF(L18&lt;=K18,"On Time","Late"))</f>
        <v/>
      </c>
    </row>
    <row r="19">
      <c r="A19" s="6" t="inlineStr">
        <is>
          <t>SHP-1018</t>
        </is>
      </c>
      <c r="B19" s="6" t="inlineStr">
        <is>
          <t>2026-01-15</t>
        </is>
      </c>
      <c r="C19" s="6" t="inlineStr">
        <is>
          <t>2026-01-15</t>
        </is>
      </c>
      <c r="D19" s="7" t="inlineStr">
        <is>
          <t>Hub-North</t>
        </is>
      </c>
      <c r="E19" s="7" t="inlineStr">
        <is>
          <t>Mumbai</t>
        </is>
      </c>
      <c r="F19" s="7" t="inlineStr">
        <is>
          <t>ApexCargo</t>
        </is>
      </c>
      <c r="G19" s="7" t="inlineStr">
        <is>
          <t>Rail</t>
        </is>
      </c>
      <c r="H19" s="8" t="n">
        <v>971</v>
      </c>
      <c r="I19" s="9" t="n">
        <v>17365.75</v>
      </c>
      <c r="J19" s="6" t="inlineStr">
        <is>
          <t>Delivered</t>
        </is>
      </c>
      <c r="K19" s="8" t="n">
        <v>5</v>
      </c>
      <c r="L19" s="8" t="n">
        <v>7</v>
      </c>
      <c r="M19" s="8">
        <f>C19-B19</f>
        <v/>
      </c>
      <c r="N19" s="9">
        <f>I19/H19</f>
        <v/>
      </c>
      <c r="O19" s="6">
        <f>IF(J19="Cancelled","N/A",IF(L19&lt;=K19,"On Time","Late"))</f>
        <v/>
      </c>
    </row>
    <row r="20">
      <c r="A20" s="2" t="inlineStr">
        <is>
          <t>SHP-1019</t>
        </is>
      </c>
      <c r="B20" s="2" t="inlineStr">
        <is>
          <t>2026-02-10</t>
        </is>
      </c>
      <c r="C20" s="2" t="inlineStr">
        <is>
          <t>2026-02-10</t>
        </is>
      </c>
      <c r="D20" s="3" t="inlineStr">
        <is>
          <t>Hub-West</t>
        </is>
      </c>
      <c r="E20" s="3" t="inlineStr">
        <is>
          <t>Delhi</t>
        </is>
      </c>
      <c r="F20" s="3" t="inlineStr">
        <is>
          <t>SwiftLog</t>
        </is>
      </c>
      <c r="G20" s="3" t="inlineStr">
        <is>
          <t>Air</t>
        </is>
      </c>
      <c r="H20" s="4" t="n">
        <v>28</v>
      </c>
      <c r="I20" s="5" t="n">
        <v>2883.87</v>
      </c>
      <c r="J20" s="2" t="inlineStr">
        <is>
          <t>Cancelled</t>
        </is>
      </c>
      <c r="K20" s="4" t="n">
        <v>2</v>
      </c>
      <c r="L20" s="4" t="n">
        <v>0</v>
      </c>
      <c r="M20" s="4">
        <f>C20-B20</f>
        <v/>
      </c>
      <c r="N20" s="5">
        <f>I20/H20</f>
        <v/>
      </c>
      <c r="O20" s="2">
        <f>IF(J20="Cancelled","N/A",IF(L20&lt;=K20,"On Time","Late"))</f>
        <v/>
      </c>
    </row>
    <row r="21">
      <c r="A21" s="6" t="inlineStr">
        <is>
          <t>SHP-1020</t>
        </is>
      </c>
      <c r="B21" s="6" t="inlineStr">
        <is>
          <t>2026-01-14</t>
        </is>
      </c>
      <c r="C21" s="6" t="inlineStr">
        <is>
          <t>2026-01-16</t>
        </is>
      </c>
      <c r="D21" s="7" t="inlineStr">
        <is>
          <t>Hub-West</t>
        </is>
      </c>
      <c r="E21" s="7" t="inlineStr">
        <is>
          <t>Pune</t>
        </is>
      </c>
      <c r="F21" s="7" t="inlineStr">
        <is>
          <t>SwiftLog</t>
        </is>
      </c>
      <c r="G21" s="7" t="inlineStr">
        <is>
          <t>Air</t>
        </is>
      </c>
      <c r="H21" s="8" t="n">
        <v>114</v>
      </c>
      <c r="I21" s="9" t="n">
        <v>10449.74</v>
      </c>
      <c r="J21" s="6" t="inlineStr">
        <is>
          <t>In Transit</t>
        </is>
      </c>
      <c r="K21" s="8" t="n">
        <v>1</v>
      </c>
      <c r="L21" s="8" t="n">
        <v>1</v>
      </c>
      <c r="M21" s="8">
        <f>C21-B21</f>
        <v/>
      </c>
      <c r="N21" s="9">
        <f>I21/H21</f>
        <v/>
      </c>
      <c r="O21" s="6">
        <f>IF(J21="Cancelled","N/A",IF(L21&lt;=K21,"On Time","Late"))</f>
        <v/>
      </c>
    </row>
    <row r="22">
      <c r="A22" s="2" t="inlineStr">
        <is>
          <t>SHP-1021</t>
        </is>
      </c>
      <c r="B22" s="2" t="inlineStr">
        <is>
          <t>2026-01-23</t>
        </is>
      </c>
      <c r="C22" s="2" t="inlineStr">
        <is>
          <t>2026-01-24</t>
        </is>
      </c>
      <c r="D22" s="3" t="inlineStr">
        <is>
          <t>Hub-South</t>
        </is>
      </c>
      <c r="E22" s="3" t="inlineStr">
        <is>
          <t>Pune</t>
        </is>
      </c>
      <c r="F22" s="3" t="inlineStr">
        <is>
          <t>ApexCargo</t>
        </is>
      </c>
      <c r="G22" s="3" t="inlineStr">
        <is>
          <t>Ground</t>
        </is>
      </c>
      <c r="H22" s="4" t="n">
        <v>494</v>
      </c>
      <c r="I22" s="5" t="n">
        <v>18806.14</v>
      </c>
      <c r="J22" s="2" t="inlineStr">
        <is>
          <t>Delivered</t>
        </is>
      </c>
      <c r="K22" s="4" t="n">
        <v>5</v>
      </c>
      <c r="L22" s="4" t="n">
        <v>4</v>
      </c>
      <c r="M22" s="4">
        <f>C22-B22</f>
        <v/>
      </c>
      <c r="N22" s="5">
        <f>I22/H22</f>
        <v/>
      </c>
      <c r="O22" s="2">
        <f>IF(J22="Cancelled","N/A",IF(L22&lt;=K22,"On Time","Late"))</f>
        <v/>
      </c>
    </row>
    <row r="23">
      <c r="A23" s="6" t="inlineStr">
        <is>
          <t>SHP-1022</t>
        </is>
      </c>
      <c r="B23" s="6" t="inlineStr">
        <is>
          <t>2026-01-26</t>
        </is>
      </c>
      <c r="C23" s="6" t="inlineStr">
        <is>
          <t>2026-01-27</t>
        </is>
      </c>
      <c r="D23" s="7" t="inlineStr">
        <is>
          <t>Hub-East</t>
        </is>
      </c>
      <c r="E23" s="7" t="inlineStr">
        <is>
          <t>Chennai</t>
        </is>
      </c>
      <c r="F23" s="7" t="inlineStr">
        <is>
          <t>SwiftLog</t>
        </is>
      </c>
      <c r="G23" s="7" t="inlineStr">
        <is>
          <t>Ground</t>
        </is>
      </c>
      <c r="H23" s="8" t="n">
        <v>424</v>
      </c>
      <c r="I23" s="9" t="n">
        <v>14404.24</v>
      </c>
      <c r="J23" s="6" t="inlineStr">
        <is>
          <t>Delivered</t>
        </is>
      </c>
      <c r="K23" s="8" t="n">
        <v>4</v>
      </c>
      <c r="L23" s="8" t="n">
        <v>4</v>
      </c>
      <c r="M23" s="8">
        <f>C23-B23</f>
        <v/>
      </c>
      <c r="N23" s="9">
        <f>I23/H23</f>
        <v/>
      </c>
      <c r="O23" s="6">
        <f>IF(J23="Cancelled","N/A",IF(L23&lt;=K23,"On Time","Late"))</f>
        <v/>
      </c>
    </row>
    <row r="24">
      <c r="A24" s="2" t="inlineStr">
        <is>
          <t>SHP-1023</t>
        </is>
      </c>
      <c r="B24" s="2" t="inlineStr">
        <is>
          <t>2026-01-30</t>
        </is>
      </c>
      <c r="C24" s="2" t="inlineStr">
        <is>
          <t>2026-01-30</t>
        </is>
      </c>
      <c r="D24" s="3" t="inlineStr">
        <is>
          <t>Hub-East</t>
        </is>
      </c>
      <c r="E24" s="3" t="inlineStr">
        <is>
          <t>Pune</t>
        </is>
      </c>
      <c r="F24" s="3" t="inlineStr">
        <is>
          <t>ApexCargo</t>
        </is>
      </c>
      <c r="G24" s="3" t="inlineStr">
        <is>
          <t>Ground</t>
        </is>
      </c>
      <c r="H24" s="4" t="n">
        <v>175</v>
      </c>
      <c r="I24" s="5" t="n">
        <v>6657.51</v>
      </c>
      <c r="J24" s="2" t="inlineStr">
        <is>
          <t>Delivered</t>
        </is>
      </c>
      <c r="K24" s="4" t="n">
        <v>5</v>
      </c>
      <c r="L24" s="4" t="n">
        <v>4</v>
      </c>
      <c r="M24" s="4">
        <f>C24-B24</f>
        <v/>
      </c>
      <c r="N24" s="5">
        <f>I24/H24</f>
        <v/>
      </c>
      <c r="O24" s="2">
        <f>IF(J24="Cancelled","N/A",IF(L24&lt;=K24,"On Time","Late"))</f>
        <v/>
      </c>
    </row>
    <row r="25">
      <c r="A25" s="6" t="inlineStr">
        <is>
          <t>SHP-1024</t>
        </is>
      </c>
      <c r="B25" s="6" t="inlineStr">
        <is>
          <t>2026-01-16</t>
        </is>
      </c>
      <c r="C25" s="6" t="inlineStr">
        <is>
          <t>2026-01-16</t>
        </is>
      </c>
      <c r="D25" s="7" t="inlineStr">
        <is>
          <t>Hub-South</t>
        </is>
      </c>
      <c r="E25" s="7" t="inlineStr">
        <is>
          <t>Pune</t>
        </is>
      </c>
      <c r="F25" s="7" t="inlineStr">
        <is>
          <t>MetroEx</t>
        </is>
      </c>
      <c r="G25" s="7" t="inlineStr">
        <is>
          <t>Ground</t>
        </is>
      </c>
      <c r="H25" s="8" t="n">
        <v>592</v>
      </c>
      <c r="I25" s="9" t="n">
        <v>19548.32</v>
      </c>
      <c r="J25" s="6" t="inlineStr">
        <is>
          <t>Delivered</t>
        </is>
      </c>
      <c r="K25" s="8" t="n">
        <v>3</v>
      </c>
      <c r="L25" s="8" t="n">
        <v>3</v>
      </c>
      <c r="M25" s="8">
        <f>C25-B25</f>
        <v/>
      </c>
      <c r="N25" s="9">
        <f>I25/H25</f>
        <v/>
      </c>
      <c r="O25" s="6">
        <f>IF(J25="Cancelled","N/A",IF(L25&lt;=K25,"On Time","Late"))</f>
        <v/>
      </c>
    </row>
    <row r="26">
      <c r="A26" s="2" t="inlineStr">
        <is>
          <t>SHP-1025</t>
        </is>
      </c>
      <c r="B26" s="2" t="inlineStr">
        <is>
          <t>2026-01-01</t>
        </is>
      </c>
      <c r="C26" s="2" t="inlineStr">
        <is>
          <t>2026-01-02</t>
        </is>
      </c>
      <c r="D26" s="3" t="inlineStr">
        <is>
          <t>Hub-North</t>
        </is>
      </c>
      <c r="E26" s="3" t="inlineStr">
        <is>
          <t>Pune</t>
        </is>
      </c>
      <c r="F26" s="3" t="inlineStr">
        <is>
          <t>MetroEx</t>
        </is>
      </c>
      <c r="G26" s="3" t="inlineStr">
        <is>
          <t>Air</t>
        </is>
      </c>
      <c r="H26" s="4" t="n">
        <v>134</v>
      </c>
      <c r="I26" s="5" t="n">
        <v>12116</v>
      </c>
      <c r="J26" s="2" t="inlineStr">
        <is>
          <t>Delivered</t>
        </is>
      </c>
      <c r="K26" s="4" t="n">
        <v>2</v>
      </c>
      <c r="L26" s="4" t="n">
        <v>1</v>
      </c>
      <c r="M26" s="4">
        <f>C26-B26</f>
        <v/>
      </c>
      <c r="N26" s="5">
        <f>I26/H26</f>
        <v/>
      </c>
      <c r="O26" s="2">
        <f>IF(J26="Cancelled","N/A",IF(L26&lt;=K26,"On Time","Late"))</f>
        <v/>
      </c>
    </row>
    <row r="27">
      <c r="A27" s="6" t="inlineStr">
        <is>
          <t>SHP-1026</t>
        </is>
      </c>
      <c r="B27" s="6" t="inlineStr">
        <is>
          <t>2026-02-07</t>
        </is>
      </c>
      <c r="C27" s="6" t="inlineStr">
        <is>
          <t>2026-02-09</t>
        </is>
      </c>
      <c r="D27" s="7" t="inlineStr">
        <is>
          <t>Hub-East</t>
        </is>
      </c>
      <c r="E27" s="7" t="inlineStr">
        <is>
          <t>Hyderabad</t>
        </is>
      </c>
      <c r="F27" s="7" t="inlineStr">
        <is>
          <t>SwiftLog</t>
        </is>
      </c>
      <c r="G27" s="7" t="inlineStr">
        <is>
          <t>Ground</t>
        </is>
      </c>
      <c r="H27" s="8" t="n">
        <v>449</v>
      </c>
      <c r="I27" s="9" t="n">
        <v>15506.56</v>
      </c>
      <c r="J27" s="6" t="inlineStr">
        <is>
          <t>Delivered</t>
        </is>
      </c>
      <c r="K27" s="8" t="n">
        <v>5</v>
      </c>
      <c r="L27" s="8" t="n">
        <v>4</v>
      </c>
      <c r="M27" s="8">
        <f>C27-B27</f>
        <v/>
      </c>
      <c r="N27" s="9">
        <f>I27/H27</f>
        <v/>
      </c>
      <c r="O27" s="6">
        <f>IF(J27="Cancelled","N/A",IF(L27&lt;=K27,"On Time","Late"))</f>
        <v/>
      </c>
    </row>
    <row r="28">
      <c r="A28" s="2" t="inlineStr">
        <is>
          <t>SHP-1027</t>
        </is>
      </c>
      <c r="B28" s="2" t="inlineStr">
        <is>
          <t>2026-02-02</t>
        </is>
      </c>
      <c r="C28" s="2" t="inlineStr">
        <is>
          <t>2026-02-02</t>
        </is>
      </c>
      <c r="D28" s="3" t="inlineStr">
        <is>
          <t>Hub-West</t>
        </is>
      </c>
      <c r="E28" s="3" t="inlineStr">
        <is>
          <t>Delhi</t>
        </is>
      </c>
      <c r="F28" s="3" t="inlineStr">
        <is>
          <t>ApexCargo</t>
        </is>
      </c>
      <c r="G28" s="3" t="inlineStr">
        <is>
          <t>Ground</t>
        </is>
      </c>
      <c r="H28" s="4" t="n">
        <v>495</v>
      </c>
      <c r="I28" s="5" t="n">
        <v>20907.01</v>
      </c>
      <c r="J28" s="2" t="inlineStr">
        <is>
          <t>Delivered</t>
        </is>
      </c>
      <c r="K28" s="4" t="n">
        <v>4</v>
      </c>
      <c r="L28" s="4" t="n">
        <v>5</v>
      </c>
      <c r="M28" s="4">
        <f>C28-B28</f>
        <v/>
      </c>
      <c r="N28" s="5">
        <f>I28/H28</f>
        <v/>
      </c>
      <c r="O28" s="2">
        <f>IF(J28="Cancelled","N/A",IF(L28&lt;=K28,"On Time","Late"))</f>
        <v/>
      </c>
    </row>
    <row r="29">
      <c r="A29" s="6" t="inlineStr">
        <is>
          <t>SHP-1028</t>
        </is>
      </c>
      <c r="B29" s="6" t="inlineStr">
        <is>
          <t>2026-01-16</t>
        </is>
      </c>
      <c r="C29" s="6" t="inlineStr">
        <is>
          <t>2026-01-18</t>
        </is>
      </c>
      <c r="D29" s="7" t="inlineStr">
        <is>
          <t>Hub-East</t>
        </is>
      </c>
      <c r="E29" s="7" t="inlineStr">
        <is>
          <t>Delhi</t>
        </is>
      </c>
      <c r="F29" s="7" t="inlineStr">
        <is>
          <t>MetroEx</t>
        </is>
      </c>
      <c r="G29" s="7" t="inlineStr">
        <is>
          <t>Rail</t>
        </is>
      </c>
      <c r="H29" s="8" t="n">
        <v>1695</v>
      </c>
      <c r="I29" s="9" t="n">
        <v>29920.6</v>
      </c>
      <c r="J29" s="6" t="inlineStr">
        <is>
          <t>Delivered</t>
        </is>
      </c>
      <c r="K29" s="8" t="n">
        <v>7</v>
      </c>
      <c r="L29" s="8" t="n">
        <v>7</v>
      </c>
      <c r="M29" s="8">
        <f>C29-B29</f>
        <v/>
      </c>
      <c r="N29" s="9">
        <f>I29/H29</f>
        <v/>
      </c>
      <c r="O29" s="6">
        <f>IF(J29="Cancelled","N/A",IF(L29&lt;=K29,"On Time","Late"))</f>
        <v/>
      </c>
    </row>
    <row r="30">
      <c r="A30" s="2" t="inlineStr">
        <is>
          <t>SHP-1029</t>
        </is>
      </c>
      <c r="B30" s="2" t="inlineStr">
        <is>
          <t>2026-02-12</t>
        </is>
      </c>
      <c r="C30" s="2" t="inlineStr">
        <is>
          <t>2026-02-13</t>
        </is>
      </c>
      <c r="D30" s="3" t="inlineStr">
        <is>
          <t>Hub-West</t>
        </is>
      </c>
      <c r="E30" s="3" t="inlineStr">
        <is>
          <t>Kolkata</t>
        </is>
      </c>
      <c r="F30" s="3" t="inlineStr">
        <is>
          <t>MetroEx</t>
        </is>
      </c>
      <c r="G30" s="3" t="inlineStr">
        <is>
          <t>Ground</t>
        </is>
      </c>
      <c r="H30" s="4" t="n">
        <v>493</v>
      </c>
      <c r="I30" s="5" t="n">
        <v>18689.64</v>
      </c>
      <c r="J30" s="2" t="inlineStr">
        <is>
          <t>Delayed</t>
        </is>
      </c>
      <c r="K30" s="4" t="n">
        <v>4</v>
      </c>
      <c r="L30" s="4" t="n">
        <v>6</v>
      </c>
      <c r="M30" s="4">
        <f>C30-B30</f>
        <v/>
      </c>
      <c r="N30" s="5">
        <f>I30/H30</f>
        <v/>
      </c>
      <c r="O30" s="2">
        <f>IF(J30="Cancelled","N/A",IF(L30&lt;=K30,"On Time","Late"))</f>
        <v/>
      </c>
    </row>
    <row r="31">
      <c r="A31" s="6" t="inlineStr">
        <is>
          <t>SHP-1030</t>
        </is>
      </c>
      <c r="B31" s="6" t="inlineStr">
        <is>
          <t>2026-01-01</t>
        </is>
      </c>
      <c r="C31" s="6" t="inlineStr">
        <is>
          <t>2026-01-02</t>
        </is>
      </c>
      <c r="D31" s="7" t="inlineStr">
        <is>
          <t>Hub-East</t>
        </is>
      </c>
      <c r="E31" s="7" t="inlineStr">
        <is>
          <t>Delhi</t>
        </is>
      </c>
      <c r="F31" s="7" t="inlineStr">
        <is>
          <t>ApexCargo</t>
        </is>
      </c>
      <c r="G31" s="7" t="inlineStr">
        <is>
          <t>Ground</t>
        </is>
      </c>
      <c r="H31" s="8" t="n">
        <v>409</v>
      </c>
      <c r="I31" s="9" t="n">
        <v>12394.34</v>
      </c>
      <c r="J31" s="6" t="inlineStr">
        <is>
          <t>Delivered</t>
        </is>
      </c>
      <c r="K31" s="8" t="n">
        <v>4</v>
      </c>
      <c r="L31" s="8" t="n">
        <v>4</v>
      </c>
      <c r="M31" s="8">
        <f>C31-B31</f>
        <v/>
      </c>
      <c r="N31" s="9">
        <f>I31/H31</f>
        <v/>
      </c>
      <c r="O31" s="6">
        <f>IF(J31="Cancelled","N/A",IF(L31&lt;=K31,"On Time","Late"))</f>
        <v/>
      </c>
    </row>
    <row r="32">
      <c r="A32" s="2" t="inlineStr">
        <is>
          <t>SHP-1031</t>
        </is>
      </c>
      <c r="B32" s="2" t="inlineStr">
        <is>
          <t>2026-01-24</t>
        </is>
      </c>
      <c r="C32" s="2" t="inlineStr">
        <is>
          <t>2026-01-25</t>
        </is>
      </c>
      <c r="D32" s="3" t="inlineStr">
        <is>
          <t>Hub-West</t>
        </is>
      </c>
      <c r="E32" s="3" t="inlineStr">
        <is>
          <t>Pune</t>
        </is>
      </c>
      <c r="F32" s="3" t="inlineStr">
        <is>
          <t>ApexCargo</t>
        </is>
      </c>
      <c r="G32" s="3" t="inlineStr">
        <is>
          <t>Rail</t>
        </is>
      </c>
      <c r="H32" s="4" t="n">
        <v>1119</v>
      </c>
      <c r="I32" s="5" t="n">
        <v>20272.67</v>
      </c>
      <c r="J32" s="2" t="inlineStr">
        <is>
          <t>Delivered</t>
        </is>
      </c>
      <c r="K32" s="4" t="n">
        <v>5</v>
      </c>
      <c r="L32" s="4" t="n">
        <v>7</v>
      </c>
      <c r="M32" s="4">
        <f>C32-B32</f>
        <v/>
      </c>
      <c r="N32" s="5">
        <f>I32/H32</f>
        <v/>
      </c>
      <c r="O32" s="2">
        <f>IF(J32="Cancelled","N/A",IF(L32&lt;=K32,"On Time","Late"))</f>
        <v/>
      </c>
    </row>
    <row r="33">
      <c r="A33" s="6" t="inlineStr">
        <is>
          <t>SHP-1032</t>
        </is>
      </c>
      <c r="B33" s="6" t="inlineStr">
        <is>
          <t>2026-01-07</t>
        </is>
      </c>
      <c r="C33" s="6" t="inlineStr">
        <is>
          <t>2026-01-07</t>
        </is>
      </c>
      <c r="D33" s="7" t="inlineStr">
        <is>
          <t>Hub-North</t>
        </is>
      </c>
      <c r="E33" s="7" t="inlineStr">
        <is>
          <t>Delhi</t>
        </is>
      </c>
      <c r="F33" s="7" t="inlineStr">
        <is>
          <t>SwiftLog</t>
        </is>
      </c>
      <c r="G33" s="7" t="inlineStr">
        <is>
          <t>Rail</t>
        </is>
      </c>
      <c r="H33" s="8" t="n">
        <v>1633</v>
      </c>
      <c r="I33" s="9" t="n">
        <v>22134.46</v>
      </c>
      <c r="J33" s="6" t="inlineStr">
        <is>
          <t>Delivered</t>
        </is>
      </c>
      <c r="K33" s="8" t="n">
        <v>7</v>
      </c>
      <c r="L33" s="8" t="n">
        <v>9</v>
      </c>
      <c r="M33" s="8">
        <f>C33-B33</f>
        <v/>
      </c>
      <c r="N33" s="9">
        <f>I33/H33</f>
        <v/>
      </c>
      <c r="O33" s="6">
        <f>IF(J33="Cancelled","N/A",IF(L33&lt;=K33,"On Time","Late"))</f>
        <v/>
      </c>
    </row>
    <row r="34">
      <c r="A34" s="2" t="inlineStr">
        <is>
          <t>SHP-1033</t>
        </is>
      </c>
      <c r="B34" s="2" t="inlineStr">
        <is>
          <t>2026-01-22</t>
        </is>
      </c>
      <c r="C34" s="2" t="inlineStr">
        <is>
          <t>2026-01-22</t>
        </is>
      </c>
      <c r="D34" s="3" t="inlineStr">
        <is>
          <t>Hub-North</t>
        </is>
      </c>
      <c r="E34" s="3" t="inlineStr">
        <is>
          <t>Pune</t>
        </is>
      </c>
      <c r="F34" s="3" t="inlineStr">
        <is>
          <t>MetroEx</t>
        </is>
      </c>
      <c r="G34" s="3" t="inlineStr">
        <is>
          <t>Ground</t>
        </is>
      </c>
      <c r="H34" s="4" t="n">
        <v>197</v>
      </c>
      <c r="I34" s="5" t="n">
        <v>7424.08</v>
      </c>
      <c r="J34" s="2" t="inlineStr">
        <is>
          <t>Delivered</t>
        </is>
      </c>
      <c r="K34" s="4" t="n">
        <v>4</v>
      </c>
      <c r="L34" s="4" t="n">
        <v>3</v>
      </c>
      <c r="M34" s="4">
        <f>C34-B34</f>
        <v/>
      </c>
      <c r="N34" s="5">
        <f>I34/H34</f>
        <v/>
      </c>
      <c r="O34" s="2">
        <f>IF(J34="Cancelled","N/A",IF(L34&lt;=K34,"On Time","Late"))</f>
        <v/>
      </c>
    </row>
    <row r="35">
      <c r="A35" s="6" t="inlineStr">
        <is>
          <t>SHP-1034</t>
        </is>
      </c>
      <c r="B35" s="6" t="inlineStr">
        <is>
          <t>2026-01-22</t>
        </is>
      </c>
      <c r="C35" s="6" t="inlineStr">
        <is>
          <t>2026-01-22</t>
        </is>
      </c>
      <c r="D35" s="7" t="inlineStr">
        <is>
          <t>Hub-North</t>
        </is>
      </c>
      <c r="E35" s="7" t="inlineStr">
        <is>
          <t>Bangalore</t>
        </is>
      </c>
      <c r="F35" s="7" t="inlineStr">
        <is>
          <t>ApexCargo</t>
        </is>
      </c>
      <c r="G35" s="7" t="inlineStr">
        <is>
          <t>Air</t>
        </is>
      </c>
      <c r="H35" s="8" t="n">
        <v>119</v>
      </c>
      <c r="I35" s="9" t="n">
        <v>12451.18</v>
      </c>
      <c r="J35" s="6" t="inlineStr">
        <is>
          <t>Delivered</t>
        </is>
      </c>
      <c r="K35" s="8" t="n">
        <v>1</v>
      </c>
      <c r="L35" s="8" t="n">
        <v>3</v>
      </c>
      <c r="M35" s="8">
        <f>C35-B35</f>
        <v/>
      </c>
      <c r="N35" s="9">
        <f>I35/H35</f>
        <v/>
      </c>
      <c r="O35" s="6">
        <f>IF(J35="Cancelled","N/A",IF(L35&lt;=K35,"On Time","Late"))</f>
        <v/>
      </c>
    </row>
    <row r="36">
      <c r="A36" s="2" t="inlineStr">
        <is>
          <t>SHP-1035</t>
        </is>
      </c>
      <c r="B36" s="2" t="inlineStr">
        <is>
          <t>2026-01-10</t>
        </is>
      </c>
      <c r="C36" s="2" t="inlineStr">
        <is>
          <t>2026-01-12</t>
        </is>
      </c>
      <c r="D36" s="3" t="inlineStr">
        <is>
          <t>Hub-East</t>
        </is>
      </c>
      <c r="E36" s="3" t="inlineStr">
        <is>
          <t>Hyderabad</t>
        </is>
      </c>
      <c r="F36" s="3" t="inlineStr">
        <is>
          <t>ApexCargo</t>
        </is>
      </c>
      <c r="G36" s="3" t="inlineStr">
        <is>
          <t>Rail</t>
        </is>
      </c>
      <c r="H36" s="4" t="n">
        <v>803</v>
      </c>
      <c r="I36" s="5" t="n">
        <v>13087.19</v>
      </c>
      <c r="J36" s="2" t="inlineStr">
        <is>
          <t>Delivered</t>
        </is>
      </c>
      <c r="K36" s="4" t="n">
        <v>5</v>
      </c>
      <c r="L36" s="4" t="n">
        <v>5</v>
      </c>
      <c r="M36" s="4">
        <f>C36-B36</f>
        <v/>
      </c>
      <c r="N36" s="5">
        <f>I36/H36</f>
        <v/>
      </c>
      <c r="O36" s="2">
        <f>IF(J36="Cancelled","N/A",IF(L36&lt;=K36,"On Time","Late"))</f>
        <v/>
      </c>
    </row>
    <row r="37">
      <c r="A37" s="6" t="inlineStr">
        <is>
          <t>SHP-1036</t>
        </is>
      </c>
      <c r="B37" s="6" t="inlineStr">
        <is>
          <t>2026-01-03</t>
        </is>
      </c>
      <c r="C37" s="6" t="inlineStr">
        <is>
          <t>2026-01-04</t>
        </is>
      </c>
      <c r="D37" s="7" t="inlineStr">
        <is>
          <t>Hub-West</t>
        </is>
      </c>
      <c r="E37" s="7" t="inlineStr">
        <is>
          <t>Chennai</t>
        </is>
      </c>
      <c r="F37" s="7" t="inlineStr">
        <is>
          <t>ApexCargo</t>
        </is>
      </c>
      <c r="G37" s="7" t="inlineStr">
        <is>
          <t>Ground</t>
        </is>
      </c>
      <c r="H37" s="8" t="n">
        <v>331</v>
      </c>
      <c r="I37" s="9" t="n">
        <v>13439.37</v>
      </c>
      <c r="J37" s="6" t="inlineStr">
        <is>
          <t>Delivered</t>
        </is>
      </c>
      <c r="K37" s="8" t="n">
        <v>4</v>
      </c>
      <c r="L37" s="8" t="n">
        <v>4</v>
      </c>
      <c r="M37" s="8">
        <f>C37-B37</f>
        <v/>
      </c>
      <c r="N37" s="9">
        <f>I37/H37</f>
        <v/>
      </c>
      <c r="O37" s="6">
        <f>IF(J37="Cancelled","N/A",IF(L37&lt;=K37,"On Time","Late"))</f>
        <v/>
      </c>
    </row>
    <row r="38">
      <c r="A38" s="2" t="inlineStr">
        <is>
          <t>SHP-1037</t>
        </is>
      </c>
      <c r="B38" s="2" t="inlineStr">
        <is>
          <t>2026-01-11</t>
        </is>
      </c>
      <c r="C38" s="2" t="inlineStr">
        <is>
          <t>2026-01-11</t>
        </is>
      </c>
      <c r="D38" s="3" t="inlineStr">
        <is>
          <t>Hub-South</t>
        </is>
      </c>
      <c r="E38" s="3" t="inlineStr">
        <is>
          <t>Mumbai</t>
        </is>
      </c>
      <c r="F38" s="3" t="inlineStr">
        <is>
          <t>SwiftLog</t>
        </is>
      </c>
      <c r="G38" s="3" t="inlineStr">
        <is>
          <t>Rail</t>
        </is>
      </c>
      <c r="H38" s="4" t="n">
        <v>1180</v>
      </c>
      <c r="I38" s="5" t="n">
        <v>23392.16</v>
      </c>
      <c r="J38" s="2" t="inlineStr">
        <is>
          <t>Delivered</t>
        </is>
      </c>
      <c r="K38" s="4" t="n">
        <v>8</v>
      </c>
      <c r="L38" s="4" t="n">
        <v>8</v>
      </c>
      <c r="M38" s="4">
        <f>C38-B38</f>
        <v/>
      </c>
      <c r="N38" s="5">
        <f>I38/H38</f>
        <v/>
      </c>
      <c r="O38" s="2">
        <f>IF(J38="Cancelled","N/A",IF(L38&lt;=K38,"On Time","Late"))</f>
        <v/>
      </c>
    </row>
    <row r="39">
      <c r="A39" s="6" t="inlineStr">
        <is>
          <t>SHP-1038</t>
        </is>
      </c>
      <c r="B39" s="6" t="inlineStr">
        <is>
          <t>2026-01-11</t>
        </is>
      </c>
      <c r="C39" s="6" t="inlineStr">
        <is>
          <t>2026-01-11</t>
        </is>
      </c>
      <c r="D39" s="7" t="inlineStr">
        <is>
          <t>Hub-South</t>
        </is>
      </c>
      <c r="E39" s="7" t="inlineStr">
        <is>
          <t>Mumbai</t>
        </is>
      </c>
      <c r="F39" s="7" t="inlineStr">
        <is>
          <t>MetroEx</t>
        </is>
      </c>
      <c r="G39" s="7" t="inlineStr">
        <is>
          <t>Ground</t>
        </is>
      </c>
      <c r="H39" s="8" t="n">
        <v>252</v>
      </c>
      <c r="I39" s="9" t="n">
        <v>10415.6</v>
      </c>
      <c r="J39" s="6" t="inlineStr">
        <is>
          <t>Delayed</t>
        </is>
      </c>
      <c r="K39" s="8" t="n">
        <v>4</v>
      </c>
      <c r="L39" s="8" t="n">
        <v>8</v>
      </c>
      <c r="M39" s="8">
        <f>C39-B39</f>
        <v/>
      </c>
      <c r="N39" s="9">
        <f>I39/H39</f>
        <v/>
      </c>
      <c r="O39" s="6">
        <f>IF(J39="Cancelled","N/A",IF(L39&lt;=K39,"On Time","Late"))</f>
        <v/>
      </c>
    </row>
    <row r="40">
      <c r="A40" s="2" t="inlineStr">
        <is>
          <t>SHP-1039</t>
        </is>
      </c>
      <c r="B40" s="2" t="inlineStr">
        <is>
          <t>2026-01-15</t>
        </is>
      </c>
      <c r="C40" s="2" t="inlineStr">
        <is>
          <t>2026-01-15</t>
        </is>
      </c>
      <c r="D40" s="3" t="inlineStr">
        <is>
          <t>Hub-East</t>
        </is>
      </c>
      <c r="E40" s="3" t="inlineStr">
        <is>
          <t>Chennai</t>
        </is>
      </c>
      <c r="F40" s="3" t="inlineStr">
        <is>
          <t>MetroEx</t>
        </is>
      </c>
      <c r="G40" s="3" t="inlineStr">
        <is>
          <t>Air</t>
        </is>
      </c>
      <c r="H40" s="4" t="n">
        <v>81</v>
      </c>
      <c r="I40" s="5" t="n">
        <v>9335.440000000001</v>
      </c>
      <c r="J40" s="2" t="inlineStr">
        <is>
          <t>Delayed</t>
        </is>
      </c>
      <c r="K40" s="4" t="n">
        <v>2</v>
      </c>
      <c r="L40" s="4" t="n">
        <v>7</v>
      </c>
      <c r="M40" s="4">
        <f>C40-B40</f>
        <v/>
      </c>
      <c r="N40" s="5">
        <f>I40/H40</f>
        <v/>
      </c>
      <c r="O40" s="2">
        <f>IF(J40="Cancelled","N/A",IF(L40&lt;=K40,"On Time","Late"))</f>
        <v/>
      </c>
    </row>
    <row r="41">
      <c r="A41" s="6" t="inlineStr">
        <is>
          <t>SHP-1040</t>
        </is>
      </c>
      <c r="B41" s="6" t="inlineStr">
        <is>
          <t>2026-02-13</t>
        </is>
      </c>
      <c r="C41" s="6" t="inlineStr">
        <is>
          <t>2026-02-15</t>
        </is>
      </c>
      <c r="D41" s="7" t="inlineStr">
        <is>
          <t>Hub-North</t>
        </is>
      </c>
      <c r="E41" s="7" t="inlineStr">
        <is>
          <t>Mumbai</t>
        </is>
      </c>
      <c r="F41" s="7" t="inlineStr">
        <is>
          <t>SwiftLog</t>
        </is>
      </c>
      <c r="G41" s="7" t="inlineStr">
        <is>
          <t>Air</t>
        </is>
      </c>
      <c r="H41" s="8" t="n">
        <v>55</v>
      </c>
      <c r="I41" s="9" t="n">
        <v>5792.64</v>
      </c>
      <c r="J41" s="6" t="inlineStr">
        <is>
          <t>Delivered</t>
        </is>
      </c>
      <c r="K41" s="8" t="n">
        <v>2</v>
      </c>
      <c r="L41" s="8" t="n">
        <v>1</v>
      </c>
      <c r="M41" s="8">
        <f>C41-B41</f>
        <v/>
      </c>
      <c r="N41" s="9">
        <f>I41/H41</f>
        <v/>
      </c>
      <c r="O41" s="6">
        <f>IF(J41="Cancelled","N/A",IF(L41&lt;=K41,"On Time","Late"))</f>
        <v/>
      </c>
    </row>
    <row r="42">
      <c r="A42" s="2" t="inlineStr">
        <is>
          <t>SHP-1041</t>
        </is>
      </c>
      <c r="B42" s="2" t="inlineStr">
        <is>
          <t>2026-02-08</t>
        </is>
      </c>
      <c r="C42" s="2" t="inlineStr">
        <is>
          <t>2026-02-09</t>
        </is>
      </c>
      <c r="D42" s="3" t="inlineStr">
        <is>
          <t>Hub-North</t>
        </is>
      </c>
      <c r="E42" s="3" t="inlineStr">
        <is>
          <t>Hyderabad</t>
        </is>
      </c>
      <c r="F42" s="3" t="inlineStr">
        <is>
          <t>MetroEx</t>
        </is>
      </c>
      <c r="G42" s="3" t="inlineStr">
        <is>
          <t>Rail</t>
        </is>
      </c>
      <c r="H42" s="4" t="n">
        <v>1547</v>
      </c>
      <c r="I42" s="5" t="n">
        <v>20353.04</v>
      </c>
      <c r="J42" s="2" t="inlineStr">
        <is>
          <t>Delivered</t>
        </is>
      </c>
      <c r="K42" s="4" t="n">
        <v>6</v>
      </c>
      <c r="L42" s="4" t="n">
        <v>5</v>
      </c>
      <c r="M42" s="4">
        <f>C42-B42</f>
        <v/>
      </c>
      <c r="N42" s="5">
        <f>I42/H42</f>
        <v/>
      </c>
      <c r="O42" s="2">
        <f>IF(J42="Cancelled","N/A",IF(L42&lt;=K42,"On Time","Late"))</f>
        <v/>
      </c>
    </row>
    <row r="43">
      <c r="A43" s="6" t="inlineStr">
        <is>
          <t>SHP-1042</t>
        </is>
      </c>
      <c r="B43" s="6" t="inlineStr">
        <is>
          <t>2026-02-15</t>
        </is>
      </c>
      <c r="C43" s="6" t="inlineStr">
        <is>
          <t>2026-02-16</t>
        </is>
      </c>
      <c r="D43" s="7" t="inlineStr">
        <is>
          <t>Hub-East</t>
        </is>
      </c>
      <c r="E43" s="7" t="inlineStr">
        <is>
          <t>Chennai</t>
        </is>
      </c>
      <c r="F43" s="7" t="inlineStr">
        <is>
          <t>MetroEx</t>
        </is>
      </c>
      <c r="G43" s="7" t="inlineStr">
        <is>
          <t>Air</t>
        </is>
      </c>
      <c r="H43" s="8" t="n">
        <v>27</v>
      </c>
      <c r="I43" s="9" t="n">
        <v>3191.69</v>
      </c>
      <c r="J43" s="6" t="inlineStr">
        <is>
          <t>Delayed</t>
        </is>
      </c>
      <c r="K43" s="8" t="n">
        <v>2</v>
      </c>
      <c r="L43" s="8" t="n">
        <v>4</v>
      </c>
      <c r="M43" s="8">
        <f>C43-B43</f>
        <v/>
      </c>
      <c r="N43" s="9">
        <f>I43/H43</f>
        <v/>
      </c>
      <c r="O43" s="6">
        <f>IF(J43="Cancelled","N/A",IF(L43&lt;=K43,"On Time","Late"))</f>
        <v/>
      </c>
    </row>
    <row r="44">
      <c r="A44" s="2" t="inlineStr">
        <is>
          <t>SHP-1043</t>
        </is>
      </c>
      <c r="B44" s="2" t="inlineStr">
        <is>
          <t>2026-01-20</t>
        </is>
      </c>
      <c r="C44" s="2" t="inlineStr">
        <is>
          <t>2026-01-22</t>
        </is>
      </c>
      <c r="D44" s="3" t="inlineStr">
        <is>
          <t>Hub-North</t>
        </is>
      </c>
      <c r="E44" s="3" t="inlineStr">
        <is>
          <t>Ahmedabad</t>
        </is>
      </c>
      <c r="F44" s="3" t="inlineStr">
        <is>
          <t>MetroEx</t>
        </is>
      </c>
      <c r="G44" s="3" t="inlineStr">
        <is>
          <t>Air</t>
        </is>
      </c>
      <c r="H44" s="4" t="n">
        <v>85</v>
      </c>
      <c r="I44" s="5" t="n">
        <v>8874.379999999999</v>
      </c>
      <c r="J44" s="2" t="inlineStr">
        <is>
          <t>In Transit</t>
        </is>
      </c>
      <c r="K44" s="4" t="n">
        <v>1</v>
      </c>
      <c r="L44" s="4" t="n">
        <v>1</v>
      </c>
      <c r="M44" s="4">
        <f>C44-B44</f>
        <v/>
      </c>
      <c r="N44" s="5">
        <f>I44/H44</f>
        <v/>
      </c>
      <c r="O44" s="2">
        <f>IF(J44="Cancelled","N/A",IF(L44&lt;=K44,"On Time","Late"))</f>
        <v/>
      </c>
    </row>
    <row r="45">
      <c r="A45" s="6" t="inlineStr">
        <is>
          <t>SHP-1044</t>
        </is>
      </c>
      <c r="B45" s="6" t="inlineStr">
        <is>
          <t>2026-02-12</t>
        </is>
      </c>
      <c r="C45" s="6" t="inlineStr">
        <is>
          <t>2026-02-13</t>
        </is>
      </c>
      <c r="D45" s="7" t="inlineStr">
        <is>
          <t>Hub-West</t>
        </is>
      </c>
      <c r="E45" s="7" t="inlineStr">
        <is>
          <t>Kolkata</t>
        </is>
      </c>
      <c r="F45" s="7" t="inlineStr">
        <is>
          <t>MetroEx</t>
        </is>
      </c>
      <c r="G45" s="7" t="inlineStr">
        <is>
          <t>Rail</t>
        </is>
      </c>
      <c r="H45" s="8" t="n">
        <v>500</v>
      </c>
      <c r="I45" s="9" t="n">
        <v>7519.37</v>
      </c>
      <c r="J45" s="6" t="inlineStr">
        <is>
          <t>In Transit</t>
        </is>
      </c>
      <c r="K45" s="8" t="n">
        <v>6</v>
      </c>
      <c r="L45" s="8" t="n">
        <v>6</v>
      </c>
      <c r="M45" s="8">
        <f>C45-B45</f>
        <v/>
      </c>
      <c r="N45" s="9">
        <f>I45/H45</f>
        <v/>
      </c>
      <c r="O45" s="6">
        <f>IF(J45="Cancelled","N/A",IF(L45&lt;=K45,"On Time","Late"))</f>
        <v/>
      </c>
    </row>
    <row r="46">
      <c r="A46" s="2" t="inlineStr">
        <is>
          <t>SHP-1045</t>
        </is>
      </c>
      <c r="B46" s="2" t="inlineStr">
        <is>
          <t>2026-02-07</t>
        </is>
      </c>
      <c r="C46" s="2" t="inlineStr">
        <is>
          <t>2026-02-09</t>
        </is>
      </c>
      <c r="D46" s="3" t="inlineStr">
        <is>
          <t>Hub-North</t>
        </is>
      </c>
      <c r="E46" s="3" t="inlineStr">
        <is>
          <t>Pune</t>
        </is>
      </c>
      <c r="F46" s="3" t="inlineStr">
        <is>
          <t>MetroEx</t>
        </is>
      </c>
      <c r="G46" s="3" t="inlineStr">
        <is>
          <t>Air</t>
        </is>
      </c>
      <c r="H46" s="4" t="n">
        <v>64</v>
      </c>
      <c r="I46" s="5" t="n">
        <v>6585.03</v>
      </c>
      <c r="J46" s="2" t="inlineStr">
        <is>
          <t>Delivered</t>
        </is>
      </c>
      <c r="K46" s="4" t="n">
        <v>1</v>
      </c>
      <c r="L46" s="4" t="n">
        <v>1</v>
      </c>
      <c r="M46" s="4">
        <f>C46-B46</f>
        <v/>
      </c>
      <c r="N46" s="5">
        <f>I46/H46</f>
        <v/>
      </c>
      <c r="O46" s="2">
        <f>IF(J46="Cancelled","N/A",IF(L46&lt;=K46,"On Time","Late"))</f>
        <v/>
      </c>
    </row>
    <row r="47">
      <c r="A47" s="6" t="inlineStr">
        <is>
          <t>SHP-1046</t>
        </is>
      </c>
      <c r="B47" s="6" t="inlineStr">
        <is>
          <t>2026-02-02</t>
        </is>
      </c>
      <c r="C47" s="6" t="inlineStr">
        <is>
          <t>2026-02-04</t>
        </is>
      </c>
      <c r="D47" s="7" t="inlineStr">
        <is>
          <t>Hub-North</t>
        </is>
      </c>
      <c r="E47" s="7" t="inlineStr">
        <is>
          <t>Delhi</t>
        </is>
      </c>
      <c r="F47" s="7" t="inlineStr">
        <is>
          <t>SwiftLog</t>
        </is>
      </c>
      <c r="G47" s="7" t="inlineStr">
        <is>
          <t>Rail</t>
        </is>
      </c>
      <c r="H47" s="8" t="n">
        <v>1135</v>
      </c>
      <c r="I47" s="9" t="n">
        <v>16169.67</v>
      </c>
      <c r="J47" s="6" t="inlineStr">
        <is>
          <t>Delivered</t>
        </is>
      </c>
      <c r="K47" s="8" t="n">
        <v>6</v>
      </c>
      <c r="L47" s="8" t="n">
        <v>5</v>
      </c>
      <c r="M47" s="8">
        <f>C47-B47</f>
        <v/>
      </c>
      <c r="N47" s="9">
        <f>I47/H47</f>
        <v/>
      </c>
      <c r="O47" s="6">
        <f>IF(J47="Cancelled","N/A",IF(L47&lt;=K47,"On Time","Late"))</f>
        <v/>
      </c>
    </row>
    <row r="48">
      <c r="A48" s="2" t="inlineStr">
        <is>
          <t>SHP-1047</t>
        </is>
      </c>
      <c r="B48" s="2" t="inlineStr">
        <is>
          <t>2026-01-03</t>
        </is>
      </c>
      <c r="C48" s="2" t="inlineStr">
        <is>
          <t>2026-01-03</t>
        </is>
      </c>
      <c r="D48" s="3" t="inlineStr">
        <is>
          <t>Hub-South</t>
        </is>
      </c>
      <c r="E48" s="3" t="inlineStr">
        <is>
          <t>Delhi</t>
        </is>
      </c>
      <c r="F48" s="3" t="inlineStr">
        <is>
          <t>MetroEx</t>
        </is>
      </c>
      <c r="G48" s="3" t="inlineStr">
        <is>
          <t>Air</t>
        </is>
      </c>
      <c r="H48" s="4" t="n">
        <v>59</v>
      </c>
      <c r="I48" s="5" t="n">
        <v>6498.38</v>
      </c>
      <c r="J48" s="2" t="inlineStr">
        <is>
          <t>Cancelled</t>
        </is>
      </c>
      <c r="K48" s="4" t="n">
        <v>2</v>
      </c>
      <c r="L48" s="4" t="n">
        <v>0</v>
      </c>
      <c r="M48" s="4">
        <f>C48-B48</f>
        <v/>
      </c>
      <c r="N48" s="5">
        <f>I48/H48</f>
        <v/>
      </c>
      <c r="O48" s="2">
        <f>IF(J48="Cancelled","N/A",IF(L48&lt;=K48,"On Time","Late"))</f>
        <v/>
      </c>
    </row>
    <row r="49">
      <c r="A49" s="6" t="inlineStr">
        <is>
          <t>SHP-1048</t>
        </is>
      </c>
      <c r="B49" s="6" t="inlineStr">
        <is>
          <t>2026-01-26</t>
        </is>
      </c>
      <c r="C49" s="6" t="inlineStr">
        <is>
          <t>2026-01-26</t>
        </is>
      </c>
      <c r="D49" s="7" t="inlineStr">
        <is>
          <t>Hub-West</t>
        </is>
      </c>
      <c r="E49" s="7" t="inlineStr">
        <is>
          <t>Mumbai</t>
        </is>
      </c>
      <c r="F49" s="7" t="inlineStr">
        <is>
          <t>SwiftLog</t>
        </is>
      </c>
      <c r="G49" s="7" t="inlineStr">
        <is>
          <t>Air</t>
        </is>
      </c>
      <c r="H49" s="8" t="n">
        <v>66</v>
      </c>
      <c r="I49" s="9" t="n">
        <v>6016.3</v>
      </c>
      <c r="J49" s="6" t="inlineStr">
        <is>
          <t>Delivered</t>
        </is>
      </c>
      <c r="K49" s="8" t="n">
        <v>2</v>
      </c>
      <c r="L49" s="8" t="n">
        <v>3</v>
      </c>
      <c r="M49" s="8">
        <f>C49-B49</f>
        <v/>
      </c>
      <c r="N49" s="9">
        <f>I49/H49</f>
        <v/>
      </c>
      <c r="O49" s="6">
        <f>IF(J49="Cancelled","N/A",IF(L49&lt;=K49,"On Time","Late"))</f>
        <v/>
      </c>
    </row>
    <row r="50">
      <c r="A50" s="2" t="inlineStr">
        <is>
          <t>SHP-1049</t>
        </is>
      </c>
      <c r="B50" s="2" t="inlineStr">
        <is>
          <t>2026-01-16</t>
        </is>
      </c>
      <c r="C50" s="2" t="inlineStr">
        <is>
          <t>2026-01-16</t>
        </is>
      </c>
      <c r="D50" s="3" t="inlineStr">
        <is>
          <t>Hub-South</t>
        </is>
      </c>
      <c r="E50" s="3" t="inlineStr">
        <is>
          <t>Bangalore</t>
        </is>
      </c>
      <c r="F50" s="3" t="inlineStr">
        <is>
          <t>MetroEx</t>
        </is>
      </c>
      <c r="G50" s="3" t="inlineStr">
        <is>
          <t>Rail</t>
        </is>
      </c>
      <c r="H50" s="4" t="n">
        <v>1587</v>
      </c>
      <c r="I50" s="5" t="n">
        <v>34721.85</v>
      </c>
      <c r="J50" s="2" t="inlineStr">
        <is>
          <t>Cancelled</t>
        </is>
      </c>
      <c r="K50" s="4" t="n">
        <v>7</v>
      </c>
      <c r="L50" s="4" t="n">
        <v>0</v>
      </c>
      <c r="M50" s="4">
        <f>C50-B50</f>
        <v/>
      </c>
      <c r="N50" s="5">
        <f>I50/H50</f>
        <v/>
      </c>
      <c r="O50" s="2">
        <f>IF(J50="Cancelled","N/A",IF(L50&lt;=K50,"On Time","Late"))</f>
        <v/>
      </c>
    </row>
    <row r="51">
      <c r="A51" s="6" t="inlineStr">
        <is>
          <t>SHP-1050</t>
        </is>
      </c>
      <c r="B51" s="6" t="inlineStr">
        <is>
          <t>2026-02-09</t>
        </is>
      </c>
      <c r="C51" s="6" t="inlineStr">
        <is>
          <t>2026-02-11</t>
        </is>
      </c>
      <c r="D51" s="7" t="inlineStr">
        <is>
          <t>Hub-South</t>
        </is>
      </c>
      <c r="E51" s="7" t="inlineStr">
        <is>
          <t>Pune</t>
        </is>
      </c>
      <c r="F51" s="7" t="inlineStr">
        <is>
          <t>SwiftLog</t>
        </is>
      </c>
      <c r="G51" s="7" t="inlineStr">
        <is>
          <t>Rail</t>
        </is>
      </c>
      <c r="H51" s="8" t="n">
        <v>1472</v>
      </c>
      <c r="I51" s="9" t="n">
        <v>24289.03</v>
      </c>
      <c r="J51" s="6" t="inlineStr">
        <is>
          <t>Delivered</t>
        </is>
      </c>
      <c r="K51" s="8" t="n">
        <v>6</v>
      </c>
      <c r="L51" s="8" t="n">
        <v>7</v>
      </c>
      <c r="M51" s="8">
        <f>C51-B51</f>
        <v/>
      </c>
      <c r="N51" s="9">
        <f>I51/H51</f>
        <v/>
      </c>
      <c r="O51" s="6">
        <f>IF(J51="Cancelled","N/A",IF(L51&lt;=K51,"On Time","Late"))</f>
        <v/>
      </c>
    </row>
    <row r="52">
      <c r="A52" s="2" t="inlineStr">
        <is>
          <t>SHP-1051</t>
        </is>
      </c>
      <c r="B52" s="2" t="inlineStr">
        <is>
          <t>2026-02-01</t>
        </is>
      </c>
      <c r="C52" s="2" t="inlineStr">
        <is>
          <t>2026-02-01</t>
        </is>
      </c>
      <c r="D52" s="3" t="inlineStr">
        <is>
          <t>Hub-North</t>
        </is>
      </c>
      <c r="E52" s="3" t="inlineStr">
        <is>
          <t>Pune</t>
        </is>
      </c>
      <c r="F52" s="3" t="inlineStr">
        <is>
          <t>SwiftLog</t>
        </is>
      </c>
      <c r="G52" s="3" t="inlineStr">
        <is>
          <t>Rail</t>
        </is>
      </c>
      <c r="H52" s="4" t="n">
        <v>1085</v>
      </c>
      <c r="I52" s="5" t="n">
        <v>15564.26</v>
      </c>
      <c r="J52" s="2" t="inlineStr">
        <is>
          <t>Delayed</t>
        </is>
      </c>
      <c r="K52" s="4" t="n">
        <v>7</v>
      </c>
      <c r="L52" s="4" t="n">
        <v>9</v>
      </c>
      <c r="M52" s="4">
        <f>C52-B52</f>
        <v/>
      </c>
      <c r="N52" s="5">
        <f>I52/H52</f>
        <v/>
      </c>
      <c r="O52" s="2">
        <f>IF(J52="Cancelled","N/A",IF(L52&lt;=K52,"On Time","Late"))</f>
        <v/>
      </c>
    </row>
    <row r="53">
      <c r="A53" s="6" t="inlineStr">
        <is>
          <t>SHP-1052</t>
        </is>
      </c>
      <c r="B53" s="6" t="inlineStr">
        <is>
          <t>2026-01-09</t>
        </is>
      </c>
      <c r="C53" s="6" t="inlineStr">
        <is>
          <t>2026-01-09</t>
        </is>
      </c>
      <c r="D53" s="7" t="inlineStr">
        <is>
          <t>Hub-West</t>
        </is>
      </c>
      <c r="E53" s="7" t="inlineStr">
        <is>
          <t>Ahmedabad</t>
        </is>
      </c>
      <c r="F53" s="7" t="inlineStr">
        <is>
          <t>ApexCargo</t>
        </is>
      </c>
      <c r="G53" s="7" t="inlineStr">
        <is>
          <t>Ground</t>
        </is>
      </c>
      <c r="H53" s="8" t="n">
        <v>511</v>
      </c>
      <c r="I53" s="9" t="n">
        <v>14961.6</v>
      </c>
      <c r="J53" s="6" t="inlineStr">
        <is>
          <t>In Transit</t>
        </is>
      </c>
      <c r="K53" s="8" t="n">
        <v>4</v>
      </c>
      <c r="L53" s="8" t="n">
        <v>4</v>
      </c>
      <c r="M53" s="8">
        <f>C53-B53</f>
        <v/>
      </c>
      <c r="N53" s="9">
        <f>I53/H53</f>
        <v/>
      </c>
      <c r="O53" s="6">
        <f>IF(J53="Cancelled","N/A",IF(L53&lt;=K53,"On Time","Late"))</f>
        <v/>
      </c>
    </row>
    <row r="54">
      <c r="A54" s="2" t="inlineStr">
        <is>
          <t>SHP-1053</t>
        </is>
      </c>
      <c r="B54" s="2" t="inlineStr">
        <is>
          <t>2026-01-22</t>
        </is>
      </c>
      <c r="C54" s="2" t="inlineStr">
        <is>
          <t>2026-01-24</t>
        </is>
      </c>
      <c r="D54" s="3" t="inlineStr">
        <is>
          <t>Hub-South</t>
        </is>
      </c>
      <c r="E54" s="3" t="inlineStr">
        <is>
          <t>Ahmedabad</t>
        </is>
      </c>
      <c r="F54" s="3" t="inlineStr">
        <is>
          <t>SwiftLog</t>
        </is>
      </c>
      <c r="G54" s="3" t="inlineStr">
        <is>
          <t>Ground</t>
        </is>
      </c>
      <c r="H54" s="4" t="n">
        <v>576</v>
      </c>
      <c r="I54" s="5" t="n">
        <v>19240.05</v>
      </c>
      <c r="J54" s="2" t="inlineStr">
        <is>
          <t>Delivered</t>
        </is>
      </c>
      <c r="K54" s="4" t="n">
        <v>5</v>
      </c>
      <c r="L54" s="4" t="n">
        <v>6</v>
      </c>
      <c r="M54" s="4">
        <f>C54-B54</f>
        <v/>
      </c>
      <c r="N54" s="5">
        <f>I54/H54</f>
        <v/>
      </c>
      <c r="O54" s="2">
        <f>IF(J54="Cancelled","N/A",IF(L54&lt;=K54,"On Time","Late"))</f>
        <v/>
      </c>
    </row>
    <row r="55">
      <c r="A55" s="6" t="inlineStr">
        <is>
          <t>SHP-1054</t>
        </is>
      </c>
      <c r="B55" s="6" t="inlineStr">
        <is>
          <t>2026-01-25</t>
        </is>
      </c>
      <c r="C55" s="6" t="inlineStr">
        <is>
          <t>2026-01-26</t>
        </is>
      </c>
      <c r="D55" s="7" t="inlineStr">
        <is>
          <t>Hub-East</t>
        </is>
      </c>
      <c r="E55" s="7" t="inlineStr">
        <is>
          <t>Hyderabad</t>
        </is>
      </c>
      <c r="F55" s="7" t="inlineStr">
        <is>
          <t>MetroEx</t>
        </is>
      </c>
      <c r="G55" s="7" t="inlineStr">
        <is>
          <t>Air</t>
        </is>
      </c>
      <c r="H55" s="8" t="n">
        <v>117</v>
      </c>
      <c r="I55" s="9" t="n">
        <v>12149.01</v>
      </c>
      <c r="J55" s="6" t="inlineStr">
        <is>
          <t>Cancelled</t>
        </is>
      </c>
      <c r="K55" s="8" t="n">
        <v>1</v>
      </c>
      <c r="L55" s="8" t="n">
        <v>0</v>
      </c>
      <c r="M55" s="8">
        <f>C55-B55</f>
        <v/>
      </c>
      <c r="N55" s="9">
        <f>I55/H55</f>
        <v/>
      </c>
      <c r="O55" s="6">
        <f>IF(J55="Cancelled","N/A",IF(L55&lt;=K55,"On Time","Late"))</f>
        <v/>
      </c>
    </row>
    <row r="56">
      <c r="A56" s="2" t="inlineStr">
        <is>
          <t>SHP-1055</t>
        </is>
      </c>
      <c r="B56" s="2" t="inlineStr">
        <is>
          <t>2026-01-15</t>
        </is>
      </c>
      <c r="C56" s="2" t="inlineStr">
        <is>
          <t>2026-01-16</t>
        </is>
      </c>
      <c r="D56" s="3" t="inlineStr">
        <is>
          <t>Hub-South</t>
        </is>
      </c>
      <c r="E56" s="3" t="inlineStr">
        <is>
          <t>Pune</t>
        </is>
      </c>
      <c r="F56" s="3" t="inlineStr">
        <is>
          <t>SwiftLog</t>
        </is>
      </c>
      <c r="G56" s="3" t="inlineStr">
        <is>
          <t>Air</t>
        </is>
      </c>
      <c r="H56" s="4" t="n">
        <v>96</v>
      </c>
      <c r="I56" s="5" t="n">
        <v>10407.42</v>
      </c>
      <c r="J56" s="2" t="inlineStr">
        <is>
          <t>Delivered</t>
        </is>
      </c>
      <c r="K56" s="4" t="n">
        <v>2</v>
      </c>
      <c r="L56" s="4" t="n">
        <v>2</v>
      </c>
      <c r="M56" s="4">
        <f>C56-B56</f>
        <v/>
      </c>
      <c r="N56" s="5">
        <f>I56/H56</f>
        <v/>
      </c>
      <c r="O56" s="2">
        <f>IF(J56="Cancelled","N/A",IF(L56&lt;=K56,"On Time","Late"))</f>
        <v/>
      </c>
    </row>
    <row r="57">
      <c r="A57" s="6" t="inlineStr">
        <is>
          <t>SHP-1056</t>
        </is>
      </c>
      <c r="B57" s="6" t="inlineStr">
        <is>
          <t>2026-01-09</t>
        </is>
      </c>
      <c r="C57" s="6" t="inlineStr">
        <is>
          <t>2026-01-11</t>
        </is>
      </c>
      <c r="D57" s="7" t="inlineStr">
        <is>
          <t>Hub-East</t>
        </is>
      </c>
      <c r="E57" s="7" t="inlineStr">
        <is>
          <t>Ahmedabad</t>
        </is>
      </c>
      <c r="F57" s="7" t="inlineStr">
        <is>
          <t>ApexCargo</t>
        </is>
      </c>
      <c r="G57" s="7" t="inlineStr">
        <is>
          <t>Rail</t>
        </is>
      </c>
      <c r="H57" s="8" t="n">
        <v>1857</v>
      </c>
      <c r="I57" s="9" t="n">
        <v>22787.29</v>
      </c>
      <c r="J57" s="6" t="inlineStr">
        <is>
          <t>Delivered</t>
        </is>
      </c>
      <c r="K57" s="8" t="n">
        <v>8</v>
      </c>
      <c r="L57" s="8" t="n">
        <v>8</v>
      </c>
      <c r="M57" s="8">
        <f>C57-B57</f>
        <v/>
      </c>
      <c r="N57" s="9">
        <f>I57/H57</f>
        <v/>
      </c>
      <c r="O57" s="6">
        <f>IF(J57="Cancelled","N/A",IF(L57&lt;=K57,"On Time","Late"))</f>
        <v/>
      </c>
    </row>
    <row r="58">
      <c r="A58" s="2" t="inlineStr">
        <is>
          <t>SHP-1057</t>
        </is>
      </c>
      <c r="B58" s="2" t="inlineStr">
        <is>
          <t>2026-01-12</t>
        </is>
      </c>
      <c r="C58" s="2" t="inlineStr">
        <is>
          <t>2026-01-12</t>
        </is>
      </c>
      <c r="D58" s="3" t="inlineStr">
        <is>
          <t>Hub-North</t>
        </is>
      </c>
      <c r="E58" s="3" t="inlineStr">
        <is>
          <t>Ahmedabad</t>
        </is>
      </c>
      <c r="F58" s="3" t="inlineStr">
        <is>
          <t>MetroEx</t>
        </is>
      </c>
      <c r="G58" s="3" t="inlineStr">
        <is>
          <t>Ground</t>
        </is>
      </c>
      <c r="H58" s="4" t="n">
        <v>382</v>
      </c>
      <c r="I58" s="5" t="n">
        <v>12047.1</v>
      </c>
      <c r="J58" s="2" t="inlineStr">
        <is>
          <t>Delivered</t>
        </is>
      </c>
      <c r="K58" s="4" t="n">
        <v>4</v>
      </c>
      <c r="L58" s="4" t="n">
        <v>4</v>
      </c>
      <c r="M58" s="4">
        <f>C58-B58</f>
        <v/>
      </c>
      <c r="N58" s="5">
        <f>I58/H58</f>
        <v/>
      </c>
      <c r="O58" s="2">
        <f>IF(J58="Cancelled","N/A",IF(L58&lt;=K58,"On Time","Late"))</f>
        <v/>
      </c>
    </row>
    <row r="59">
      <c r="A59" s="6" t="inlineStr">
        <is>
          <t>SHP-1058</t>
        </is>
      </c>
      <c r="B59" s="6" t="inlineStr">
        <is>
          <t>2026-01-17</t>
        </is>
      </c>
      <c r="C59" s="6" t="inlineStr">
        <is>
          <t>2026-01-17</t>
        </is>
      </c>
      <c r="D59" s="7" t="inlineStr">
        <is>
          <t>Hub-South</t>
        </is>
      </c>
      <c r="E59" s="7" t="inlineStr">
        <is>
          <t>Mumbai</t>
        </is>
      </c>
      <c r="F59" s="7" t="inlineStr">
        <is>
          <t>ApexCargo</t>
        </is>
      </c>
      <c r="G59" s="7" t="inlineStr">
        <is>
          <t>Rail</t>
        </is>
      </c>
      <c r="H59" s="8" t="n">
        <v>606</v>
      </c>
      <c r="I59" s="9" t="n">
        <v>13331.44</v>
      </c>
      <c r="J59" s="6" t="inlineStr">
        <is>
          <t>Delivered</t>
        </is>
      </c>
      <c r="K59" s="8" t="n">
        <v>7</v>
      </c>
      <c r="L59" s="8" t="n">
        <v>9</v>
      </c>
      <c r="M59" s="8">
        <f>C59-B59</f>
        <v/>
      </c>
      <c r="N59" s="9">
        <f>I59/H59</f>
        <v/>
      </c>
      <c r="O59" s="6">
        <f>IF(J59="Cancelled","N/A",IF(L59&lt;=K59,"On Time","Late"))</f>
        <v/>
      </c>
    </row>
    <row r="60">
      <c r="A60" s="2" t="inlineStr">
        <is>
          <t>SHP-1059</t>
        </is>
      </c>
      <c r="B60" s="2" t="inlineStr">
        <is>
          <t>2026-01-05</t>
        </is>
      </c>
      <c r="C60" s="2" t="inlineStr">
        <is>
          <t>2026-01-05</t>
        </is>
      </c>
      <c r="D60" s="3" t="inlineStr">
        <is>
          <t>Hub-East</t>
        </is>
      </c>
      <c r="E60" s="3" t="inlineStr">
        <is>
          <t>Chennai</t>
        </is>
      </c>
      <c r="F60" s="3" t="inlineStr">
        <is>
          <t>SwiftLog</t>
        </is>
      </c>
      <c r="G60" s="3" t="inlineStr">
        <is>
          <t>Ground</t>
        </is>
      </c>
      <c r="H60" s="4" t="n">
        <v>468</v>
      </c>
      <c r="I60" s="5" t="n">
        <v>13126.3</v>
      </c>
      <c r="J60" s="2" t="inlineStr">
        <is>
          <t>Cancelled</t>
        </is>
      </c>
      <c r="K60" s="4" t="n">
        <v>3</v>
      </c>
      <c r="L60" s="4" t="n">
        <v>0</v>
      </c>
      <c r="M60" s="4">
        <f>C60-B60</f>
        <v/>
      </c>
      <c r="N60" s="5">
        <f>I60/H60</f>
        <v/>
      </c>
      <c r="O60" s="2">
        <f>IF(J60="Cancelled","N/A",IF(L60&lt;=K60,"On Time","Late"))</f>
        <v/>
      </c>
    </row>
    <row r="61">
      <c r="A61" s="6" t="inlineStr">
        <is>
          <t>SHP-1060</t>
        </is>
      </c>
      <c r="B61" s="6" t="inlineStr">
        <is>
          <t>2026-02-12</t>
        </is>
      </c>
      <c r="C61" s="6" t="inlineStr">
        <is>
          <t>2026-02-12</t>
        </is>
      </c>
      <c r="D61" s="7" t="inlineStr">
        <is>
          <t>Hub-West</t>
        </is>
      </c>
      <c r="E61" s="7" t="inlineStr">
        <is>
          <t>Pune</t>
        </is>
      </c>
      <c r="F61" s="7" t="inlineStr">
        <is>
          <t>ApexCargo</t>
        </is>
      </c>
      <c r="G61" s="7" t="inlineStr">
        <is>
          <t>Air</t>
        </is>
      </c>
      <c r="H61" s="8" t="n">
        <v>104</v>
      </c>
      <c r="I61" s="9" t="n">
        <v>9450.75</v>
      </c>
      <c r="J61" s="6" t="inlineStr">
        <is>
          <t>Delivered</t>
        </is>
      </c>
      <c r="K61" s="8" t="n">
        <v>1</v>
      </c>
      <c r="L61" s="8" t="n">
        <v>1</v>
      </c>
      <c r="M61" s="8">
        <f>C61-B61</f>
        <v/>
      </c>
      <c r="N61" s="9">
        <f>I61/H61</f>
        <v/>
      </c>
      <c r="O61" s="6">
        <f>IF(J61="Cancelled","N/A",IF(L61&lt;=K61,"On Time","Late"))</f>
        <v/>
      </c>
    </row>
    <row r="62">
      <c r="A62" s="2" t="inlineStr">
        <is>
          <t>SHP-1061</t>
        </is>
      </c>
      <c r="B62" s="2" t="inlineStr">
        <is>
          <t>2026-01-07</t>
        </is>
      </c>
      <c r="C62" s="2" t="inlineStr">
        <is>
          <t>2026-01-09</t>
        </is>
      </c>
      <c r="D62" s="3" t="inlineStr">
        <is>
          <t>Hub-East</t>
        </is>
      </c>
      <c r="E62" s="3" t="inlineStr">
        <is>
          <t>Kolkata</t>
        </is>
      </c>
      <c r="F62" s="3" t="inlineStr">
        <is>
          <t>ApexCargo</t>
        </is>
      </c>
      <c r="G62" s="3" t="inlineStr">
        <is>
          <t>Rail</t>
        </is>
      </c>
      <c r="H62" s="4" t="n">
        <v>1268</v>
      </c>
      <c r="I62" s="5" t="n">
        <v>20245.58</v>
      </c>
      <c r="J62" s="2" t="inlineStr">
        <is>
          <t>Delivered</t>
        </is>
      </c>
      <c r="K62" s="4" t="n">
        <v>6</v>
      </c>
      <c r="L62" s="4" t="n">
        <v>7</v>
      </c>
      <c r="M62" s="4">
        <f>C62-B62</f>
        <v/>
      </c>
      <c r="N62" s="5">
        <f>I62/H62</f>
        <v/>
      </c>
      <c r="O62" s="2">
        <f>IF(J62="Cancelled","N/A",IF(L62&lt;=K62,"On Time","Late"))</f>
        <v/>
      </c>
    </row>
    <row r="63">
      <c r="A63" s="6" t="inlineStr">
        <is>
          <t>SHP-1062</t>
        </is>
      </c>
      <c r="B63" s="6" t="inlineStr">
        <is>
          <t>2026-02-14</t>
        </is>
      </c>
      <c r="C63" s="6" t="inlineStr">
        <is>
          <t>2026-02-14</t>
        </is>
      </c>
      <c r="D63" s="7" t="inlineStr">
        <is>
          <t>Hub-East</t>
        </is>
      </c>
      <c r="E63" s="7" t="inlineStr">
        <is>
          <t>Kolkata</t>
        </is>
      </c>
      <c r="F63" s="7" t="inlineStr">
        <is>
          <t>ApexCargo</t>
        </is>
      </c>
      <c r="G63" s="7" t="inlineStr">
        <is>
          <t>Rail</t>
        </is>
      </c>
      <c r="H63" s="8" t="n">
        <v>747</v>
      </c>
      <c r="I63" s="9" t="n">
        <v>14911.82</v>
      </c>
      <c r="J63" s="6" t="inlineStr">
        <is>
          <t>Delayed</t>
        </is>
      </c>
      <c r="K63" s="8" t="n">
        <v>5</v>
      </c>
      <c r="L63" s="8" t="n">
        <v>10</v>
      </c>
      <c r="M63" s="8">
        <f>C63-B63</f>
        <v/>
      </c>
      <c r="N63" s="9">
        <f>I63/H63</f>
        <v/>
      </c>
      <c r="O63" s="6">
        <f>IF(J63="Cancelled","N/A",IF(L63&lt;=K63,"On Time","Late"))</f>
        <v/>
      </c>
    </row>
    <row r="64">
      <c r="A64" s="2" t="inlineStr">
        <is>
          <t>SHP-1063</t>
        </is>
      </c>
      <c r="B64" s="2" t="inlineStr">
        <is>
          <t>2026-02-12</t>
        </is>
      </c>
      <c r="C64" s="2" t="inlineStr">
        <is>
          <t>2026-02-13</t>
        </is>
      </c>
      <c r="D64" s="3" t="inlineStr">
        <is>
          <t>Hub-East</t>
        </is>
      </c>
      <c r="E64" s="3" t="inlineStr">
        <is>
          <t>Hyderabad</t>
        </is>
      </c>
      <c r="F64" s="3" t="inlineStr">
        <is>
          <t>SwiftLog</t>
        </is>
      </c>
      <c r="G64" s="3" t="inlineStr">
        <is>
          <t>Air</t>
        </is>
      </c>
      <c r="H64" s="4" t="n">
        <v>135</v>
      </c>
      <c r="I64" s="5" t="n">
        <v>11973.67</v>
      </c>
      <c r="J64" s="2" t="inlineStr">
        <is>
          <t>Cancelled</t>
        </is>
      </c>
      <c r="K64" s="4" t="n">
        <v>2</v>
      </c>
      <c r="L64" s="4" t="n">
        <v>0</v>
      </c>
      <c r="M64" s="4">
        <f>C64-B64</f>
        <v/>
      </c>
      <c r="N64" s="5">
        <f>I64/H64</f>
        <v/>
      </c>
      <c r="O64" s="2">
        <f>IF(J64="Cancelled","N/A",IF(L64&lt;=K64,"On Time","Late"))</f>
        <v/>
      </c>
    </row>
    <row r="65">
      <c r="A65" s="6" t="inlineStr">
        <is>
          <t>SHP-1064</t>
        </is>
      </c>
      <c r="B65" s="6" t="inlineStr">
        <is>
          <t>2026-02-15</t>
        </is>
      </c>
      <c r="C65" s="6" t="inlineStr">
        <is>
          <t>2026-02-15</t>
        </is>
      </c>
      <c r="D65" s="7" t="inlineStr">
        <is>
          <t>Hub-South</t>
        </is>
      </c>
      <c r="E65" s="7" t="inlineStr">
        <is>
          <t>Bangalore</t>
        </is>
      </c>
      <c r="F65" s="7" t="inlineStr">
        <is>
          <t>ApexCargo</t>
        </is>
      </c>
      <c r="G65" s="7" t="inlineStr">
        <is>
          <t>Rail</t>
        </is>
      </c>
      <c r="H65" s="8" t="n">
        <v>1832</v>
      </c>
      <c r="I65" s="9" t="n">
        <v>26931.91</v>
      </c>
      <c r="J65" s="6" t="inlineStr">
        <is>
          <t>Cancelled</t>
        </is>
      </c>
      <c r="K65" s="8" t="n">
        <v>8</v>
      </c>
      <c r="L65" s="8" t="n">
        <v>0</v>
      </c>
      <c r="M65" s="8">
        <f>C65-B65</f>
        <v/>
      </c>
      <c r="N65" s="9">
        <f>I65/H65</f>
        <v/>
      </c>
      <c r="O65" s="6">
        <f>IF(J65="Cancelled","N/A",IF(L65&lt;=K65,"On Time","Late"))</f>
        <v/>
      </c>
    </row>
    <row r="66">
      <c r="A66" s="2" t="inlineStr">
        <is>
          <t>SHP-1065</t>
        </is>
      </c>
      <c r="B66" s="2" t="inlineStr">
        <is>
          <t>2026-01-28</t>
        </is>
      </c>
      <c r="C66" s="2" t="inlineStr">
        <is>
          <t>2026-01-30</t>
        </is>
      </c>
      <c r="D66" s="3" t="inlineStr">
        <is>
          <t>Hub-North</t>
        </is>
      </c>
      <c r="E66" s="3" t="inlineStr">
        <is>
          <t>Hyderabad</t>
        </is>
      </c>
      <c r="F66" s="3" t="inlineStr">
        <is>
          <t>SwiftLog</t>
        </is>
      </c>
      <c r="G66" s="3" t="inlineStr">
        <is>
          <t>Ground</t>
        </is>
      </c>
      <c r="H66" s="4" t="n">
        <v>292</v>
      </c>
      <c r="I66" s="5" t="n">
        <v>12448.73</v>
      </c>
      <c r="J66" s="2" t="inlineStr">
        <is>
          <t>Cancelled</t>
        </is>
      </c>
      <c r="K66" s="4" t="n">
        <v>3</v>
      </c>
      <c r="L66" s="4" t="n">
        <v>0</v>
      </c>
      <c r="M66" s="4">
        <f>C66-B66</f>
        <v/>
      </c>
      <c r="N66" s="5">
        <f>I66/H66</f>
        <v/>
      </c>
      <c r="O66" s="2">
        <f>IF(J66="Cancelled","N/A",IF(L66&lt;=K66,"On Time","Late"))</f>
        <v/>
      </c>
    </row>
    <row r="67">
      <c r="A67" s="6" t="inlineStr">
        <is>
          <t>SHP-1066</t>
        </is>
      </c>
      <c r="B67" s="6" t="inlineStr">
        <is>
          <t>2026-02-06</t>
        </is>
      </c>
      <c r="C67" s="6" t="inlineStr">
        <is>
          <t>2026-02-08</t>
        </is>
      </c>
      <c r="D67" s="7" t="inlineStr">
        <is>
          <t>Hub-South</t>
        </is>
      </c>
      <c r="E67" s="7" t="inlineStr">
        <is>
          <t>Hyderabad</t>
        </is>
      </c>
      <c r="F67" s="7" t="inlineStr">
        <is>
          <t>SwiftLog</t>
        </is>
      </c>
      <c r="G67" s="7" t="inlineStr">
        <is>
          <t>Air</t>
        </is>
      </c>
      <c r="H67" s="8" t="n">
        <v>93</v>
      </c>
      <c r="I67" s="9" t="n">
        <v>8496.889999999999</v>
      </c>
      <c r="J67" s="6" t="inlineStr">
        <is>
          <t>Delayed</t>
        </is>
      </c>
      <c r="K67" s="8" t="n">
        <v>1</v>
      </c>
      <c r="L67" s="8" t="n">
        <v>5</v>
      </c>
      <c r="M67" s="8">
        <f>C67-B67</f>
        <v/>
      </c>
      <c r="N67" s="9">
        <f>I67/H67</f>
        <v/>
      </c>
      <c r="O67" s="6">
        <f>IF(J67="Cancelled","N/A",IF(L67&lt;=K67,"On Time","Late"))</f>
        <v/>
      </c>
    </row>
    <row r="68">
      <c r="A68" s="2" t="inlineStr">
        <is>
          <t>SHP-1067</t>
        </is>
      </c>
      <c r="B68" s="2" t="inlineStr">
        <is>
          <t>2026-01-22</t>
        </is>
      </c>
      <c r="C68" s="2" t="inlineStr">
        <is>
          <t>2026-01-23</t>
        </is>
      </c>
      <c r="D68" s="3" t="inlineStr">
        <is>
          <t>Hub-North</t>
        </is>
      </c>
      <c r="E68" s="3" t="inlineStr">
        <is>
          <t>Mumbai</t>
        </is>
      </c>
      <c r="F68" s="3" t="inlineStr">
        <is>
          <t>ApexCargo</t>
        </is>
      </c>
      <c r="G68" s="3" t="inlineStr">
        <is>
          <t>Ground</t>
        </is>
      </c>
      <c r="H68" s="4" t="n">
        <v>193</v>
      </c>
      <c r="I68" s="5" t="n">
        <v>5756.63</v>
      </c>
      <c r="J68" s="2" t="inlineStr">
        <is>
          <t>Cancelled</t>
        </is>
      </c>
      <c r="K68" s="4" t="n">
        <v>4</v>
      </c>
      <c r="L68" s="4" t="n">
        <v>0</v>
      </c>
      <c r="M68" s="4">
        <f>C68-B68</f>
        <v/>
      </c>
      <c r="N68" s="5">
        <f>I68/H68</f>
        <v/>
      </c>
      <c r="O68" s="2">
        <f>IF(J68="Cancelled","N/A",IF(L68&lt;=K68,"On Time","Late"))</f>
        <v/>
      </c>
    </row>
    <row r="69">
      <c r="A69" s="6" t="inlineStr">
        <is>
          <t>SHP-1068</t>
        </is>
      </c>
      <c r="B69" s="6" t="inlineStr">
        <is>
          <t>2026-02-05</t>
        </is>
      </c>
      <c r="C69" s="6" t="inlineStr">
        <is>
          <t>2026-02-05</t>
        </is>
      </c>
      <c r="D69" s="7" t="inlineStr">
        <is>
          <t>Hub-South</t>
        </is>
      </c>
      <c r="E69" s="7" t="inlineStr">
        <is>
          <t>Pune</t>
        </is>
      </c>
      <c r="F69" s="7" t="inlineStr">
        <is>
          <t>MetroEx</t>
        </is>
      </c>
      <c r="G69" s="7" t="inlineStr">
        <is>
          <t>Ground</t>
        </is>
      </c>
      <c r="H69" s="8" t="n">
        <v>197</v>
      </c>
      <c r="I69" s="9" t="n">
        <v>6084.29</v>
      </c>
      <c r="J69" s="6" t="inlineStr">
        <is>
          <t>Delivered</t>
        </is>
      </c>
      <c r="K69" s="8" t="n">
        <v>4</v>
      </c>
      <c r="L69" s="8" t="n">
        <v>4</v>
      </c>
      <c r="M69" s="8">
        <f>C69-B69</f>
        <v/>
      </c>
      <c r="N69" s="9">
        <f>I69/H69</f>
        <v/>
      </c>
      <c r="O69" s="6">
        <f>IF(J69="Cancelled","N/A",IF(L69&lt;=K69,"On Time","Late"))</f>
        <v/>
      </c>
    </row>
    <row r="70">
      <c r="A70" s="2" t="inlineStr">
        <is>
          <t>SHP-1069</t>
        </is>
      </c>
      <c r="B70" s="2" t="inlineStr">
        <is>
          <t>2026-02-12</t>
        </is>
      </c>
      <c r="C70" s="2" t="inlineStr">
        <is>
          <t>2026-02-14</t>
        </is>
      </c>
      <c r="D70" s="3" t="inlineStr">
        <is>
          <t>Hub-North</t>
        </is>
      </c>
      <c r="E70" s="3" t="inlineStr">
        <is>
          <t>Pune</t>
        </is>
      </c>
      <c r="F70" s="3" t="inlineStr">
        <is>
          <t>ApexCargo</t>
        </is>
      </c>
      <c r="G70" s="3" t="inlineStr">
        <is>
          <t>Rail</t>
        </is>
      </c>
      <c r="H70" s="4" t="n">
        <v>1204</v>
      </c>
      <c r="I70" s="5" t="n">
        <v>19571.07</v>
      </c>
      <c r="J70" s="2" t="inlineStr">
        <is>
          <t>Delayed</t>
        </is>
      </c>
      <c r="K70" s="4" t="n">
        <v>7</v>
      </c>
      <c r="L70" s="4" t="n">
        <v>12</v>
      </c>
      <c r="M70" s="4">
        <f>C70-B70</f>
        <v/>
      </c>
      <c r="N70" s="5">
        <f>I70/H70</f>
        <v/>
      </c>
      <c r="O70" s="2">
        <f>IF(J70="Cancelled","N/A",IF(L70&lt;=K70,"On Time","Late"))</f>
        <v/>
      </c>
    </row>
    <row r="71">
      <c r="A71" s="6" t="inlineStr">
        <is>
          <t>SHP-1070</t>
        </is>
      </c>
      <c r="B71" s="6" t="inlineStr">
        <is>
          <t>2026-01-18</t>
        </is>
      </c>
      <c r="C71" s="6" t="inlineStr">
        <is>
          <t>2026-01-19</t>
        </is>
      </c>
      <c r="D71" s="7" t="inlineStr">
        <is>
          <t>Hub-North</t>
        </is>
      </c>
      <c r="E71" s="7" t="inlineStr">
        <is>
          <t>Chennai</t>
        </is>
      </c>
      <c r="F71" s="7" t="inlineStr">
        <is>
          <t>SwiftLog</t>
        </is>
      </c>
      <c r="G71" s="7" t="inlineStr">
        <is>
          <t>Rail</t>
        </is>
      </c>
      <c r="H71" s="8" t="n">
        <v>894</v>
      </c>
      <c r="I71" s="9" t="n">
        <v>13549</v>
      </c>
      <c r="J71" s="6" t="inlineStr">
        <is>
          <t>Delivered</t>
        </is>
      </c>
      <c r="K71" s="8" t="n">
        <v>6</v>
      </c>
      <c r="L71" s="8" t="n">
        <v>6</v>
      </c>
      <c r="M71" s="8">
        <f>C71-B71</f>
        <v/>
      </c>
      <c r="N71" s="9">
        <f>I71/H71</f>
        <v/>
      </c>
      <c r="O71" s="6">
        <f>IF(J71="Cancelled","N/A",IF(L71&lt;=K71,"On Time","Late"))</f>
        <v/>
      </c>
    </row>
    <row r="72">
      <c r="A72" s="2" t="inlineStr">
        <is>
          <t>SHP-1071</t>
        </is>
      </c>
      <c r="B72" s="2" t="inlineStr">
        <is>
          <t>2026-01-31</t>
        </is>
      </c>
      <c r="C72" s="2" t="inlineStr">
        <is>
          <t>2026-02-01</t>
        </is>
      </c>
      <c r="D72" s="3" t="inlineStr">
        <is>
          <t>Hub-North</t>
        </is>
      </c>
      <c r="E72" s="3" t="inlineStr">
        <is>
          <t>Delhi</t>
        </is>
      </c>
      <c r="F72" s="3" t="inlineStr">
        <is>
          <t>SwiftLog</t>
        </is>
      </c>
      <c r="G72" s="3" t="inlineStr">
        <is>
          <t>Air</t>
        </is>
      </c>
      <c r="H72" s="4" t="n">
        <v>68</v>
      </c>
      <c r="I72" s="5" t="n">
        <v>6638.9</v>
      </c>
      <c r="J72" s="2" t="inlineStr">
        <is>
          <t>Delivered</t>
        </is>
      </c>
      <c r="K72" s="4" t="n">
        <v>2</v>
      </c>
      <c r="L72" s="4" t="n">
        <v>4</v>
      </c>
      <c r="M72" s="4">
        <f>C72-B72</f>
        <v/>
      </c>
      <c r="N72" s="5">
        <f>I72/H72</f>
        <v/>
      </c>
      <c r="O72" s="2">
        <f>IF(J72="Cancelled","N/A",IF(L72&lt;=K72,"On Time","Late"))</f>
        <v/>
      </c>
    </row>
    <row r="73">
      <c r="A73" s="6" t="inlineStr">
        <is>
          <t>SHP-1072</t>
        </is>
      </c>
      <c r="B73" s="6" t="inlineStr">
        <is>
          <t>2026-02-04</t>
        </is>
      </c>
      <c r="C73" s="6" t="inlineStr">
        <is>
          <t>2026-02-04</t>
        </is>
      </c>
      <c r="D73" s="7" t="inlineStr">
        <is>
          <t>Hub-North</t>
        </is>
      </c>
      <c r="E73" s="7" t="inlineStr">
        <is>
          <t>Mumbai</t>
        </is>
      </c>
      <c r="F73" s="7" t="inlineStr">
        <is>
          <t>SwiftLog</t>
        </is>
      </c>
      <c r="G73" s="7" t="inlineStr">
        <is>
          <t>Rail</t>
        </is>
      </c>
      <c r="H73" s="8" t="n">
        <v>1098</v>
      </c>
      <c r="I73" s="9" t="n">
        <v>20833.64</v>
      </c>
      <c r="J73" s="6" t="inlineStr">
        <is>
          <t>Cancelled</t>
        </is>
      </c>
      <c r="K73" s="8" t="n">
        <v>6</v>
      </c>
      <c r="L73" s="8" t="n">
        <v>0</v>
      </c>
      <c r="M73" s="8">
        <f>C73-B73</f>
        <v/>
      </c>
      <c r="N73" s="9">
        <f>I73/H73</f>
        <v/>
      </c>
      <c r="O73" s="6">
        <f>IF(J73="Cancelled","N/A",IF(L73&lt;=K73,"On Time","Late"))</f>
        <v/>
      </c>
    </row>
    <row r="74">
      <c r="A74" s="2" t="inlineStr">
        <is>
          <t>SHP-1073</t>
        </is>
      </c>
      <c r="B74" s="2" t="inlineStr">
        <is>
          <t>2026-01-07</t>
        </is>
      </c>
      <c r="C74" s="2" t="inlineStr">
        <is>
          <t>2026-01-07</t>
        </is>
      </c>
      <c r="D74" s="3" t="inlineStr">
        <is>
          <t>Hub-North</t>
        </is>
      </c>
      <c r="E74" s="3" t="inlineStr">
        <is>
          <t>Pune</t>
        </is>
      </c>
      <c r="F74" s="3" t="inlineStr">
        <is>
          <t>MetroEx</t>
        </is>
      </c>
      <c r="G74" s="3" t="inlineStr">
        <is>
          <t>Air</t>
        </is>
      </c>
      <c r="H74" s="4" t="n">
        <v>97</v>
      </c>
      <c r="I74" s="5" t="n">
        <v>8870.91</v>
      </c>
      <c r="J74" s="2" t="inlineStr">
        <is>
          <t>Delivered</t>
        </is>
      </c>
      <c r="K74" s="4" t="n">
        <v>1</v>
      </c>
      <c r="L74" s="4" t="n">
        <v>1</v>
      </c>
      <c r="M74" s="4">
        <f>C74-B74</f>
        <v/>
      </c>
      <c r="N74" s="5">
        <f>I74/H74</f>
        <v/>
      </c>
      <c r="O74" s="2">
        <f>IF(J74="Cancelled","N/A",IF(L74&lt;=K74,"On Time","Late"))</f>
        <v/>
      </c>
    </row>
    <row r="75">
      <c r="A75" s="6" t="inlineStr">
        <is>
          <t>SHP-1074</t>
        </is>
      </c>
      <c r="B75" s="6" t="inlineStr">
        <is>
          <t>2026-01-08</t>
        </is>
      </c>
      <c r="C75" s="6" t="inlineStr">
        <is>
          <t>2026-01-08</t>
        </is>
      </c>
      <c r="D75" s="7" t="inlineStr">
        <is>
          <t>Hub-South</t>
        </is>
      </c>
      <c r="E75" s="7" t="inlineStr">
        <is>
          <t>Pune</t>
        </is>
      </c>
      <c r="F75" s="7" t="inlineStr">
        <is>
          <t>SwiftLog</t>
        </is>
      </c>
      <c r="G75" s="7" t="inlineStr">
        <is>
          <t>Rail</t>
        </is>
      </c>
      <c r="H75" s="8" t="n">
        <v>1789</v>
      </c>
      <c r="I75" s="9" t="n">
        <v>33748.61</v>
      </c>
      <c r="J75" s="6" t="inlineStr">
        <is>
          <t>Delivered</t>
        </is>
      </c>
      <c r="K75" s="8" t="n">
        <v>6</v>
      </c>
      <c r="L75" s="8" t="n">
        <v>7</v>
      </c>
      <c r="M75" s="8">
        <f>C75-B75</f>
        <v/>
      </c>
      <c r="N75" s="9">
        <f>I75/H75</f>
        <v/>
      </c>
      <c r="O75" s="6">
        <f>IF(J75="Cancelled","N/A",IF(L75&lt;=K75,"On Time","Late"))</f>
        <v/>
      </c>
    </row>
    <row r="76">
      <c r="A76" s="2" t="inlineStr">
        <is>
          <t>SHP-1075</t>
        </is>
      </c>
      <c r="B76" s="2" t="inlineStr">
        <is>
          <t>2026-01-20</t>
        </is>
      </c>
      <c r="C76" s="2" t="inlineStr">
        <is>
          <t>2026-01-20</t>
        </is>
      </c>
      <c r="D76" s="3" t="inlineStr">
        <is>
          <t>Hub-West</t>
        </is>
      </c>
      <c r="E76" s="3" t="inlineStr">
        <is>
          <t>Delhi</t>
        </is>
      </c>
      <c r="F76" s="3" t="inlineStr">
        <is>
          <t>ApexCargo</t>
        </is>
      </c>
      <c r="G76" s="3" t="inlineStr">
        <is>
          <t>Air</t>
        </is>
      </c>
      <c r="H76" s="4" t="n">
        <v>67</v>
      </c>
      <c r="I76" s="5" t="n">
        <v>7514</v>
      </c>
      <c r="J76" s="2" t="inlineStr">
        <is>
          <t>Cancelled</t>
        </is>
      </c>
      <c r="K76" s="4" t="n">
        <v>2</v>
      </c>
      <c r="L76" s="4" t="n">
        <v>0</v>
      </c>
      <c r="M76" s="4">
        <f>C76-B76</f>
        <v/>
      </c>
      <c r="N76" s="5">
        <f>I76/H76</f>
        <v/>
      </c>
      <c r="O76" s="2">
        <f>IF(J76="Cancelled","N/A",IF(L76&lt;=K76,"On Time","Late"))</f>
        <v/>
      </c>
    </row>
    <row r="77">
      <c r="A77" s="6" t="inlineStr">
        <is>
          <t>SHP-1076</t>
        </is>
      </c>
      <c r="B77" s="6" t="inlineStr">
        <is>
          <t>2026-01-29</t>
        </is>
      </c>
      <c r="C77" s="6" t="inlineStr">
        <is>
          <t>2026-01-30</t>
        </is>
      </c>
      <c r="D77" s="7" t="inlineStr">
        <is>
          <t>Hub-South</t>
        </is>
      </c>
      <c r="E77" s="7" t="inlineStr">
        <is>
          <t>Kolkata</t>
        </is>
      </c>
      <c r="F77" s="7" t="inlineStr">
        <is>
          <t>ApexCargo</t>
        </is>
      </c>
      <c r="G77" s="7" t="inlineStr">
        <is>
          <t>Rail</t>
        </is>
      </c>
      <c r="H77" s="8" t="n">
        <v>623</v>
      </c>
      <c r="I77" s="9" t="n">
        <v>11274</v>
      </c>
      <c r="J77" s="6" t="inlineStr">
        <is>
          <t>Delivered</t>
        </is>
      </c>
      <c r="K77" s="8" t="n">
        <v>5</v>
      </c>
      <c r="L77" s="8" t="n">
        <v>7</v>
      </c>
      <c r="M77" s="8">
        <f>C77-B77</f>
        <v/>
      </c>
      <c r="N77" s="9">
        <f>I77/H77</f>
        <v/>
      </c>
      <c r="O77" s="6">
        <f>IF(J77="Cancelled","N/A",IF(L77&lt;=K77,"On Time","Late"))</f>
        <v/>
      </c>
    </row>
    <row r="78">
      <c r="A78" s="2" t="inlineStr">
        <is>
          <t>SHP-1077</t>
        </is>
      </c>
      <c r="B78" s="2" t="inlineStr">
        <is>
          <t>2026-01-14</t>
        </is>
      </c>
      <c r="C78" s="2" t="inlineStr">
        <is>
          <t>2026-01-15</t>
        </is>
      </c>
      <c r="D78" s="3" t="inlineStr">
        <is>
          <t>Hub-East</t>
        </is>
      </c>
      <c r="E78" s="3" t="inlineStr">
        <is>
          <t>Bangalore</t>
        </is>
      </c>
      <c r="F78" s="3" t="inlineStr">
        <is>
          <t>SwiftLog</t>
        </is>
      </c>
      <c r="G78" s="3" t="inlineStr">
        <is>
          <t>Ground</t>
        </is>
      </c>
      <c r="H78" s="4" t="n">
        <v>432</v>
      </c>
      <c r="I78" s="5" t="n">
        <v>11448.56</v>
      </c>
      <c r="J78" s="2" t="inlineStr">
        <is>
          <t>In Transit</t>
        </is>
      </c>
      <c r="K78" s="4" t="n">
        <v>3</v>
      </c>
      <c r="L78" s="4" t="n">
        <v>3</v>
      </c>
      <c r="M78" s="4">
        <f>C78-B78</f>
        <v/>
      </c>
      <c r="N78" s="5">
        <f>I78/H78</f>
        <v/>
      </c>
      <c r="O78" s="2">
        <f>IF(J78="Cancelled","N/A",IF(L78&lt;=K78,"On Time","Late"))</f>
        <v/>
      </c>
    </row>
    <row r="79">
      <c r="A79" s="6" t="inlineStr">
        <is>
          <t>SHP-1078</t>
        </is>
      </c>
      <c r="B79" s="6" t="inlineStr">
        <is>
          <t>2026-01-29</t>
        </is>
      </c>
      <c r="C79" s="6" t="inlineStr">
        <is>
          <t>2026-01-31</t>
        </is>
      </c>
      <c r="D79" s="7" t="inlineStr">
        <is>
          <t>Hub-South</t>
        </is>
      </c>
      <c r="E79" s="7" t="inlineStr">
        <is>
          <t>Kolkata</t>
        </is>
      </c>
      <c r="F79" s="7" t="inlineStr">
        <is>
          <t>SwiftLog</t>
        </is>
      </c>
      <c r="G79" s="7" t="inlineStr">
        <is>
          <t>Ground</t>
        </is>
      </c>
      <c r="H79" s="8" t="n">
        <v>297</v>
      </c>
      <c r="I79" s="9" t="n">
        <v>11624.32</v>
      </c>
      <c r="J79" s="6" t="inlineStr">
        <is>
          <t>Cancelled</t>
        </is>
      </c>
      <c r="K79" s="8" t="n">
        <v>5</v>
      </c>
      <c r="L79" s="8" t="n">
        <v>0</v>
      </c>
      <c r="M79" s="8">
        <f>C79-B79</f>
        <v/>
      </c>
      <c r="N79" s="9">
        <f>I79/H79</f>
        <v/>
      </c>
      <c r="O79" s="6">
        <f>IF(J79="Cancelled","N/A",IF(L79&lt;=K79,"On Time","Late"))</f>
        <v/>
      </c>
    </row>
    <row r="80">
      <c r="A80" s="2" t="inlineStr">
        <is>
          <t>SHP-1079</t>
        </is>
      </c>
      <c r="B80" s="2" t="inlineStr">
        <is>
          <t>2026-01-05</t>
        </is>
      </c>
      <c r="C80" s="2" t="inlineStr">
        <is>
          <t>2026-01-05</t>
        </is>
      </c>
      <c r="D80" s="3" t="inlineStr">
        <is>
          <t>Hub-North</t>
        </is>
      </c>
      <c r="E80" s="3" t="inlineStr">
        <is>
          <t>Chennai</t>
        </is>
      </c>
      <c r="F80" s="3" t="inlineStr">
        <is>
          <t>MetroEx</t>
        </is>
      </c>
      <c r="G80" s="3" t="inlineStr">
        <is>
          <t>Ground</t>
        </is>
      </c>
      <c r="H80" s="4" t="n">
        <v>428</v>
      </c>
      <c r="I80" s="5" t="n">
        <v>12624.37</v>
      </c>
      <c r="J80" s="2" t="inlineStr">
        <is>
          <t>Delivered</t>
        </is>
      </c>
      <c r="K80" s="4" t="n">
        <v>3</v>
      </c>
      <c r="L80" s="4" t="n">
        <v>3</v>
      </c>
      <c r="M80" s="4">
        <f>C80-B80</f>
        <v/>
      </c>
      <c r="N80" s="5">
        <f>I80/H80</f>
        <v/>
      </c>
      <c r="O80" s="2">
        <f>IF(J80="Cancelled","N/A",IF(L80&lt;=K80,"On Time","Late"))</f>
        <v/>
      </c>
    </row>
    <row r="81">
      <c r="A81" s="6" t="inlineStr">
        <is>
          <t>SHP-1080</t>
        </is>
      </c>
      <c r="B81" s="6" t="inlineStr">
        <is>
          <t>2026-01-05</t>
        </is>
      </c>
      <c r="C81" s="6" t="inlineStr">
        <is>
          <t>2026-01-05</t>
        </is>
      </c>
      <c r="D81" s="7" t="inlineStr">
        <is>
          <t>Hub-West</t>
        </is>
      </c>
      <c r="E81" s="7" t="inlineStr">
        <is>
          <t>Kolkata</t>
        </is>
      </c>
      <c r="F81" s="7" t="inlineStr">
        <is>
          <t>ApexCargo</t>
        </is>
      </c>
      <c r="G81" s="7" t="inlineStr">
        <is>
          <t>Rail</t>
        </is>
      </c>
      <c r="H81" s="8" t="n">
        <v>1665</v>
      </c>
      <c r="I81" s="9" t="n">
        <v>35317.86</v>
      </c>
      <c r="J81" s="6" t="inlineStr">
        <is>
          <t>Delivered</t>
        </is>
      </c>
      <c r="K81" s="8" t="n">
        <v>8</v>
      </c>
      <c r="L81" s="8" t="n">
        <v>8</v>
      </c>
      <c r="M81" s="8">
        <f>C81-B81</f>
        <v/>
      </c>
      <c r="N81" s="9">
        <f>I81/H81</f>
        <v/>
      </c>
      <c r="O81" s="6">
        <f>IF(J81="Cancelled","N/A",IF(L81&lt;=K81,"On Time","Late"))</f>
        <v/>
      </c>
    </row>
    <row r="82">
      <c r="A82" s="2" t="inlineStr">
        <is>
          <t>SHP-1081</t>
        </is>
      </c>
      <c r="B82" s="2" t="inlineStr">
        <is>
          <t>2026-02-14</t>
        </is>
      </c>
      <c r="C82" s="2" t="inlineStr">
        <is>
          <t>2026-02-15</t>
        </is>
      </c>
      <c r="D82" s="3" t="inlineStr">
        <is>
          <t>Hub-South</t>
        </is>
      </c>
      <c r="E82" s="3" t="inlineStr">
        <is>
          <t>Kolkata</t>
        </is>
      </c>
      <c r="F82" s="3" t="inlineStr">
        <is>
          <t>ApexCargo</t>
        </is>
      </c>
      <c r="G82" s="3" t="inlineStr">
        <is>
          <t>Rail</t>
        </is>
      </c>
      <c r="H82" s="4" t="n">
        <v>1511</v>
      </c>
      <c r="I82" s="5" t="n">
        <v>24746.54</v>
      </c>
      <c r="J82" s="2" t="inlineStr">
        <is>
          <t>In Transit</t>
        </is>
      </c>
      <c r="K82" s="4" t="n">
        <v>5</v>
      </c>
      <c r="L82" s="4" t="n">
        <v>5</v>
      </c>
      <c r="M82" s="4">
        <f>C82-B82</f>
        <v/>
      </c>
      <c r="N82" s="5">
        <f>I82/H82</f>
        <v/>
      </c>
      <c r="O82" s="2">
        <f>IF(J82="Cancelled","N/A",IF(L82&lt;=K82,"On Time","Late"))</f>
        <v/>
      </c>
    </row>
    <row r="83">
      <c r="A83" s="6" t="inlineStr">
        <is>
          <t>SHP-1082</t>
        </is>
      </c>
      <c r="B83" s="6" t="inlineStr">
        <is>
          <t>2026-01-21</t>
        </is>
      </c>
      <c r="C83" s="6" t="inlineStr">
        <is>
          <t>2026-01-23</t>
        </is>
      </c>
      <c r="D83" s="7" t="inlineStr">
        <is>
          <t>Hub-North</t>
        </is>
      </c>
      <c r="E83" s="7" t="inlineStr">
        <is>
          <t>Mumbai</t>
        </is>
      </c>
      <c r="F83" s="7" t="inlineStr">
        <is>
          <t>SwiftLog</t>
        </is>
      </c>
      <c r="G83" s="7" t="inlineStr">
        <is>
          <t>Ground</t>
        </is>
      </c>
      <c r="H83" s="8" t="n">
        <v>495</v>
      </c>
      <c r="I83" s="9" t="n">
        <v>20650.99</v>
      </c>
      <c r="J83" s="6" t="inlineStr">
        <is>
          <t>Delivered</t>
        </is>
      </c>
      <c r="K83" s="8" t="n">
        <v>5</v>
      </c>
      <c r="L83" s="8" t="n">
        <v>7</v>
      </c>
      <c r="M83" s="8">
        <f>C83-B83</f>
        <v/>
      </c>
      <c r="N83" s="9">
        <f>I83/H83</f>
        <v/>
      </c>
      <c r="O83" s="6">
        <f>IF(J83="Cancelled","N/A",IF(L83&lt;=K83,"On Time","Late"))</f>
        <v/>
      </c>
    </row>
    <row r="84">
      <c r="A84" s="2" t="inlineStr">
        <is>
          <t>SHP-1083</t>
        </is>
      </c>
      <c r="B84" s="2" t="inlineStr">
        <is>
          <t>2026-01-18</t>
        </is>
      </c>
      <c r="C84" s="2" t="inlineStr">
        <is>
          <t>2026-01-20</t>
        </is>
      </c>
      <c r="D84" s="3" t="inlineStr">
        <is>
          <t>Hub-East</t>
        </is>
      </c>
      <c r="E84" s="3" t="inlineStr">
        <is>
          <t>Bangalore</t>
        </is>
      </c>
      <c r="F84" s="3" t="inlineStr">
        <is>
          <t>MetroEx</t>
        </is>
      </c>
      <c r="G84" s="3" t="inlineStr">
        <is>
          <t>Rail</t>
        </is>
      </c>
      <c r="H84" s="4" t="n">
        <v>1834</v>
      </c>
      <c r="I84" s="5" t="n">
        <v>30118.49</v>
      </c>
      <c r="J84" s="2" t="inlineStr">
        <is>
          <t>Delivered</t>
        </is>
      </c>
      <c r="K84" s="4" t="n">
        <v>7</v>
      </c>
      <c r="L84" s="4" t="n">
        <v>8</v>
      </c>
      <c r="M84" s="4">
        <f>C84-B84</f>
        <v/>
      </c>
      <c r="N84" s="5">
        <f>I84/H84</f>
        <v/>
      </c>
      <c r="O84" s="2">
        <f>IF(J84="Cancelled","N/A",IF(L84&lt;=K84,"On Time","Late"))</f>
        <v/>
      </c>
    </row>
    <row r="85">
      <c r="A85" s="6" t="inlineStr">
        <is>
          <t>SHP-1084</t>
        </is>
      </c>
      <c r="B85" s="6" t="inlineStr">
        <is>
          <t>2026-01-28</t>
        </is>
      </c>
      <c r="C85" s="6" t="inlineStr">
        <is>
          <t>2026-01-29</t>
        </is>
      </c>
      <c r="D85" s="7" t="inlineStr">
        <is>
          <t>Hub-East</t>
        </is>
      </c>
      <c r="E85" s="7" t="inlineStr">
        <is>
          <t>Pune</t>
        </is>
      </c>
      <c r="F85" s="7" t="inlineStr">
        <is>
          <t>MetroEx</t>
        </is>
      </c>
      <c r="G85" s="7" t="inlineStr">
        <is>
          <t>Air</t>
        </is>
      </c>
      <c r="H85" s="8" t="n">
        <v>95</v>
      </c>
      <c r="I85" s="9" t="n">
        <v>9142.52</v>
      </c>
      <c r="J85" s="6" t="inlineStr">
        <is>
          <t>Delivered</t>
        </is>
      </c>
      <c r="K85" s="8" t="n">
        <v>1</v>
      </c>
      <c r="L85" s="8" t="n">
        <v>1</v>
      </c>
      <c r="M85" s="8">
        <f>C85-B85</f>
        <v/>
      </c>
      <c r="N85" s="9">
        <f>I85/H85</f>
        <v/>
      </c>
      <c r="O85" s="6">
        <f>IF(J85="Cancelled","N/A",IF(L85&lt;=K85,"On Time","Late"))</f>
        <v/>
      </c>
    </row>
    <row r="86">
      <c r="A86" s="2" t="inlineStr">
        <is>
          <t>SHP-1085</t>
        </is>
      </c>
      <c r="B86" s="2" t="inlineStr">
        <is>
          <t>2026-01-27</t>
        </is>
      </c>
      <c r="C86" s="2" t="inlineStr">
        <is>
          <t>2026-01-28</t>
        </is>
      </c>
      <c r="D86" s="3" t="inlineStr">
        <is>
          <t>Hub-North</t>
        </is>
      </c>
      <c r="E86" s="3" t="inlineStr">
        <is>
          <t>Ahmedabad</t>
        </is>
      </c>
      <c r="F86" s="3" t="inlineStr">
        <is>
          <t>ApexCargo</t>
        </is>
      </c>
      <c r="G86" s="3" t="inlineStr">
        <is>
          <t>Ground</t>
        </is>
      </c>
      <c r="H86" s="4" t="n">
        <v>382</v>
      </c>
      <c r="I86" s="5" t="n">
        <v>10222.78</v>
      </c>
      <c r="J86" s="2" t="inlineStr">
        <is>
          <t>Delayed</t>
        </is>
      </c>
      <c r="K86" s="4" t="n">
        <v>4</v>
      </c>
      <c r="L86" s="4" t="n">
        <v>6</v>
      </c>
      <c r="M86" s="4">
        <f>C86-B86</f>
        <v/>
      </c>
      <c r="N86" s="5">
        <f>I86/H86</f>
        <v/>
      </c>
      <c r="O86" s="2">
        <f>IF(J86="Cancelled","N/A",IF(L86&lt;=K86,"On Time","Late"))</f>
        <v/>
      </c>
    </row>
    <row r="87">
      <c r="A87" s="6" t="inlineStr">
        <is>
          <t>SHP-1086</t>
        </is>
      </c>
      <c r="B87" s="6" t="inlineStr">
        <is>
          <t>2026-01-26</t>
        </is>
      </c>
      <c r="C87" s="6" t="inlineStr">
        <is>
          <t>2026-01-28</t>
        </is>
      </c>
      <c r="D87" s="7" t="inlineStr">
        <is>
          <t>Hub-East</t>
        </is>
      </c>
      <c r="E87" s="7" t="inlineStr">
        <is>
          <t>Pune</t>
        </is>
      </c>
      <c r="F87" s="7" t="inlineStr">
        <is>
          <t>MetroEx</t>
        </is>
      </c>
      <c r="G87" s="7" t="inlineStr">
        <is>
          <t>Ground</t>
        </is>
      </c>
      <c r="H87" s="8" t="n">
        <v>246</v>
      </c>
      <c r="I87" s="9" t="n">
        <v>8700.719999999999</v>
      </c>
      <c r="J87" s="6" t="inlineStr">
        <is>
          <t>Cancelled</t>
        </is>
      </c>
      <c r="K87" s="8" t="n">
        <v>5</v>
      </c>
      <c r="L87" s="8" t="n">
        <v>0</v>
      </c>
      <c r="M87" s="8">
        <f>C87-B87</f>
        <v/>
      </c>
      <c r="N87" s="9">
        <f>I87/H87</f>
        <v/>
      </c>
      <c r="O87" s="6">
        <f>IF(J87="Cancelled","N/A",IF(L87&lt;=K87,"On Time","Late"))</f>
        <v/>
      </c>
    </row>
    <row r="88">
      <c r="A88" s="2" t="inlineStr">
        <is>
          <t>SHP-1087</t>
        </is>
      </c>
      <c r="B88" s="2" t="inlineStr">
        <is>
          <t>2026-02-10</t>
        </is>
      </c>
      <c r="C88" s="2" t="inlineStr">
        <is>
          <t>2026-02-11</t>
        </is>
      </c>
      <c r="D88" s="3" t="inlineStr">
        <is>
          <t>Hub-East</t>
        </is>
      </c>
      <c r="E88" s="3" t="inlineStr">
        <is>
          <t>Chennai</t>
        </is>
      </c>
      <c r="F88" s="3" t="inlineStr">
        <is>
          <t>MetroEx</t>
        </is>
      </c>
      <c r="G88" s="3" t="inlineStr">
        <is>
          <t>Rail</t>
        </is>
      </c>
      <c r="H88" s="4" t="n">
        <v>768</v>
      </c>
      <c r="I88" s="5" t="n">
        <v>16340.53</v>
      </c>
      <c r="J88" s="2" t="inlineStr">
        <is>
          <t>Cancelled</t>
        </is>
      </c>
      <c r="K88" s="4" t="n">
        <v>8</v>
      </c>
      <c r="L88" s="4" t="n">
        <v>0</v>
      </c>
      <c r="M88" s="4">
        <f>C88-B88</f>
        <v/>
      </c>
      <c r="N88" s="5">
        <f>I88/H88</f>
        <v/>
      </c>
      <c r="O88" s="2">
        <f>IF(J88="Cancelled","N/A",IF(L88&lt;=K88,"On Time","Late"))</f>
        <v/>
      </c>
    </row>
    <row r="89">
      <c r="A89" s="6" t="inlineStr">
        <is>
          <t>SHP-1088</t>
        </is>
      </c>
      <c r="B89" s="6" t="inlineStr">
        <is>
          <t>2026-01-08</t>
        </is>
      </c>
      <c r="C89" s="6" t="inlineStr">
        <is>
          <t>2026-01-08</t>
        </is>
      </c>
      <c r="D89" s="7" t="inlineStr">
        <is>
          <t>Hub-West</t>
        </is>
      </c>
      <c r="E89" s="7" t="inlineStr">
        <is>
          <t>Bangalore</t>
        </is>
      </c>
      <c r="F89" s="7" t="inlineStr">
        <is>
          <t>MetroEx</t>
        </is>
      </c>
      <c r="G89" s="7" t="inlineStr">
        <is>
          <t>Rail</t>
        </is>
      </c>
      <c r="H89" s="8" t="n">
        <v>528</v>
      </c>
      <c r="I89" s="9" t="n">
        <v>9251.889999999999</v>
      </c>
      <c r="J89" s="6" t="inlineStr">
        <is>
          <t>Delivered</t>
        </is>
      </c>
      <c r="K89" s="8" t="n">
        <v>5</v>
      </c>
      <c r="L89" s="8" t="n">
        <v>4</v>
      </c>
      <c r="M89" s="8">
        <f>C89-B89</f>
        <v/>
      </c>
      <c r="N89" s="9">
        <f>I89/H89</f>
        <v/>
      </c>
      <c r="O89" s="6">
        <f>IF(J89="Cancelled","N/A",IF(L89&lt;=K89,"On Time","Late"))</f>
        <v/>
      </c>
    </row>
    <row r="90">
      <c r="A90" s="2" t="inlineStr">
        <is>
          <t>SHP-1089</t>
        </is>
      </c>
      <c r="B90" s="2" t="inlineStr">
        <is>
          <t>2026-01-30</t>
        </is>
      </c>
      <c r="C90" s="2" t="inlineStr">
        <is>
          <t>2026-01-30</t>
        </is>
      </c>
      <c r="D90" s="3" t="inlineStr">
        <is>
          <t>Hub-West</t>
        </is>
      </c>
      <c r="E90" s="3" t="inlineStr">
        <is>
          <t>Pune</t>
        </is>
      </c>
      <c r="F90" s="3" t="inlineStr">
        <is>
          <t>ApexCargo</t>
        </is>
      </c>
      <c r="G90" s="3" t="inlineStr">
        <is>
          <t>Air</t>
        </is>
      </c>
      <c r="H90" s="4" t="n">
        <v>140</v>
      </c>
      <c r="I90" s="5" t="n">
        <v>15356.52</v>
      </c>
      <c r="J90" s="2" t="inlineStr">
        <is>
          <t>Cancelled</t>
        </is>
      </c>
      <c r="K90" s="4" t="n">
        <v>2</v>
      </c>
      <c r="L90" s="4" t="n">
        <v>0</v>
      </c>
      <c r="M90" s="4">
        <f>C90-B90</f>
        <v/>
      </c>
      <c r="N90" s="5">
        <f>I90/H90</f>
        <v/>
      </c>
      <c r="O90" s="2">
        <f>IF(J90="Cancelled","N/A",IF(L90&lt;=K90,"On Time","Late"))</f>
        <v/>
      </c>
    </row>
    <row r="91">
      <c r="A91" s="6" t="inlineStr">
        <is>
          <t>SHP-1090</t>
        </is>
      </c>
      <c r="B91" s="6" t="inlineStr">
        <is>
          <t>2026-01-31</t>
        </is>
      </c>
      <c r="C91" s="6" t="inlineStr">
        <is>
          <t>2026-01-31</t>
        </is>
      </c>
      <c r="D91" s="7" t="inlineStr">
        <is>
          <t>Hub-South</t>
        </is>
      </c>
      <c r="E91" s="7" t="inlineStr">
        <is>
          <t>Bangalore</t>
        </is>
      </c>
      <c r="F91" s="7" t="inlineStr">
        <is>
          <t>MetroEx</t>
        </is>
      </c>
      <c r="G91" s="7" t="inlineStr">
        <is>
          <t>Ground</t>
        </is>
      </c>
      <c r="H91" s="8" t="n">
        <v>456</v>
      </c>
      <c r="I91" s="9" t="n">
        <v>16035.16</v>
      </c>
      <c r="J91" s="6" t="inlineStr">
        <is>
          <t>Delivered</t>
        </is>
      </c>
      <c r="K91" s="8" t="n">
        <v>3</v>
      </c>
      <c r="L91" s="8" t="n">
        <v>3</v>
      </c>
      <c r="M91" s="8">
        <f>C91-B91</f>
        <v/>
      </c>
      <c r="N91" s="9">
        <f>I91/H91</f>
        <v/>
      </c>
      <c r="O91" s="6">
        <f>IF(J91="Cancelled","N/A",IF(L91&lt;=K91,"On Time","Late"))</f>
        <v/>
      </c>
    </row>
    <row r="92">
      <c r="A92" s="2" t="inlineStr">
        <is>
          <t>SHP-1091</t>
        </is>
      </c>
      <c r="B92" s="2" t="inlineStr">
        <is>
          <t>2026-01-27</t>
        </is>
      </c>
      <c r="C92" s="2" t="inlineStr">
        <is>
          <t>2026-01-28</t>
        </is>
      </c>
      <c r="D92" s="3" t="inlineStr">
        <is>
          <t>Hub-North</t>
        </is>
      </c>
      <c r="E92" s="3" t="inlineStr">
        <is>
          <t>Mumbai</t>
        </is>
      </c>
      <c r="F92" s="3" t="inlineStr">
        <is>
          <t>MetroEx</t>
        </is>
      </c>
      <c r="G92" s="3" t="inlineStr">
        <is>
          <t>Rail</t>
        </is>
      </c>
      <c r="H92" s="4" t="n">
        <v>1111</v>
      </c>
      <c r="I92" s="5" t="n">
        <v>22636.36</v>
      </c>
      <c r="J92" s="2" t="inlineStr">
        <is>
          <t>Delivered</t>
        </is>
      </c>
      <c r="K92" s="4" t="n">
        <v>8</v>
      </c>
      <c r="L92" s="4" t="n">
        <v>8</v>
      </c>
      <c r="M92" s="4">
        <f>C92-B92</f>
        <v/>
      </c>
      <c r="N92" s="5">
        <f>I92/H92</f>
        <v/>
      </c>
      <c r="O92" s="2">
        <f>IF(J92="Cancelled","N/A",IF(L92&lt;=K92,"On Time","Late"))</f>
        <v/>
      </c>
    </row>
    <row r="93">
      <c r="A93" s="6" t="inlineStr">
        <is>
          <t>SHP-1092</t>
        </is>
      </c>
      <c r="B93" s="6" t="inlineStr">
        <is>
          <t>2026-02-04</t>
        </is>
      </c>
      <c r="C93" s="6" t="inlineStr">
        <is>
          <t>2026-02-05</t>
        </is>
      </c>
      <c r="D93" s="7" t="inlineStr">
        <is>
          <t>Hub-North</t>
        </is>
      </c>
      <c r="E93" s="7" t="inlineStr">
        <is>
          <t>Hyderabad</t>
        </is>
      </c>
      <c r="F93" s="7" t="inlineStr">
        <is>
          <t>ApexCargo</t>
        </is>
      </c>
      <c r="G93" s="7" t="inlineStr">
        <is>
          <t>Rail</t>
        </is>
      </c>
      <c r="H93" s="8" t="n">
        <v>1272</v>
      </c>
      <c r="I93" s="9" t="n">
        <v>21055.98</v>
      </c>
      <c r="J93" s="6" t="inlineStr">
        <is>
          <t>Delivered</t>
        </is>
      </c>
      <c r="K93" s="8" t="n">
        <v>7</v>
      </c>
      <c r="L93" s="8" t="n">
        <v>9</v>
      </c>
      <c r="M93" s="8">
        <f>C93-B93</f>
        <v/>
      </c>
      <c r="N93" s="9">
        <f>I93/H93</f>
        <v/>
      </c>
      <c r="O93" s="6">
        <f>IF(J93="Cancelled","N/A",IF(L93&lt;=K93,"On Time","Late"))</f>
        <v/>
      </c>
    </row>
    <row r="94">
      <c r="A94" s="2" t="inlineStr">
        <is>
          <t>SHP-1093</t>
        </is>
      </c>
      <c r="B94" s="2" t="inlineStr">
        <is>
          <t>2026-01-16</t>
        </is>
      </c>
      <c r="C94" s="2" t="inlineStr">
        <is>
          <t>2026-01-18</t>
        </is>
      </c>
      <c r="D94" s="3" t="inlineStr">
        <is>
          <t>Hub-South</t>
        </is>
      </c>
      <c r="E94" s="3" t="inlineStr">
        <is>
          <t>Chennai</t>
        </is>
      </c>
      <c r="F94" s="3" t="inlineStr">
        <is>
          <t>MetroEx</t>
        </is>
      </c>
      <c r="G94" s="3" t="inlineStr">
        <is>
          <t>Ground</t>
        </is>
      </c>
      <c r="H94" s="4" t="n">
        <v>312</v>
      </c>
      <c r="I94" s="5" t="n">
        <v>12446.96</v>
      </c>
      <c r="J94" s="2" t="inlineStr">
        <is>
          <t>In Transit</t>
        </is>
      </c>
      <c r="K94" s="4" t="n">
        <v>5</v>
      </c>
      <c r="L94" s="4" t="n">
        <v>5</v>
      </c>
      <c r="M94" s="4">
        <f>C94-B94</f>
        <v/>
      </c>
      <c r="N94" s="5">
        <f>I94/H94</f>
        <v/>
      </c>
      <c r="O94" s="2">
        <f>IF(J94="Cancelled","N/A",IF(L94&lt;=K94,"On Time","Late"))</f>
        <v/>
      </c>
    </row>
    <row r="95">
      <c r="A95" s="6" t="inlineStr">
        <is>
          <t>SHP-1094</t>
        </is>
      </c>
      <c r="B95" s="6" t="inlineStr">
        <is>
          <t>2026-01-25</t>
        </is>
      </c>
      <c r="C95" s="6" t="inlineStr">
        <is>
          <t>2026-01-25</t>
        </is>
      </c>
      <c r="D95" s="7" t="inlineStr">
        <is>
          <t>Hub-South</t>
        </is>
      </c>
      <c r="E95" s="7" t="inlineStr">
        <is>
          <t>Mumbai</t>
        </is>
      </c>
      <c r="F95" s="7" t="inlineStr">
        <is>
          <t>SwiftLog</t>
        </is>
      </c>
      <c r="G95" s="7" t="inlineStr">
        <is>
          <t>Rail</t>
        </is>
      </c>
      <c r="H95" s="8" t="n">
        <v>1708</v>
      </c>
      <c r="I95" s="9" t="n">
        <v>26166.47</v>
      </c>
      <c r="J95" s="6" t="inlineStr">
        <is>
          <t>Cancelled</t>
        </is>
      </c>
      <c r="K95" s="8" t="n">
        <v>5</v>
      </c>
      <c r="L95" s="8" t="n">
        <v>0</v>
      </c>
      <c r="M95" s="8">
        <f>C95-B95</f>
        <v/>
      </c>
      <c r="N95" s="9">
        <f>I95/H95</f>
        <v/>
      </c>
      <c r="O95" s="6">
        <f>IF(J95="Cancelled","N/A",IF(L95&lt;=K95,"On Time","Late"))</f>
        <v/>
      </c>
    </row>
    <row r="96">
      <c r="A96" s="2" t="inlineStr">
        <is>
          <t>SHP-1095</t>
        </is>
      </c>
      <c r="B96" s="2" t="inlineStr">
        <is>
          <t>2026-01-07</t>
        </is>
      </c>
      <c r="C96" s="2" t="inlineStr">
        <is>
          <t>2026-01-09</t>
        </is>
      </c>
      <c r="D96" s="3" t="inlineStr">
        <is>
          <t>Hub-South</t>
        </is>
      </c>
      <c r="E96" s="3" t="inlineStr">
        <is>
          <t>Mumbai</t>
        </is>
      </c>
      <c r="F96" s="3" t="inlineStr">
        <is>
          <t>ApexCargo</t>
        </is>
      </c>
      <c r="G96" s="3" t="inlineStr">
        <is>
          <t>Ground</t>
        </is>
      </c>
      <c r="H96" s="4" t="n">
        <v>359</v>
      </c>
      <c r="I96" s="5" t="n">
        <v>15228.3</v>
      </c>
      <c r="J96" s="2" t="inlineStr">
        <is>
          <t>Delivered</t>
        </is>
      </c>
      <c r="K96" s="4" t="n">
        <v>3</v>
      </c>
      <c r="L96" s="4" t="n">
        <v>3</v>
      </c>
      <c r="M96" s="4">
        <f>C96-B96</f>
        <v/>
      </c>
      <c r="N96" s="5">
        <f>I96/H96</f>
        <v/>
      </c>
      <c r="O96" s="2">
        <f>IF(J96="Cancelled","N/A",IF(L96&lt;=K96,"On Time","Late"))</f>
        <v/>
      </c>
    </row>
    <row r="97">
      <c r="A97" s="6" t="inlineStr">
        <is>
          <t>SHP-1096</t>
        </is>
      </c>
      <c r="B97" s="6" t="inlineStr">
        <is>
          <t>2026-01-17</t>
        </is>
      </c>
      <c r="C97" s="6" t="inlineStr">
        <is>
          <t>2026-01-18</t>
        </is>
      </c>
      <c r="D97" s="7" t="inlineStr">
        <is>
          <t>Hub-South</t>
        </is>
      </c>
      <c r="E97" s="7" t="inlineStr">
        <is>
          <t>Delhi</t>
        </is>
      </c>
      <c r="F97" s="7" t="inlineStr">
        <is>
          <t>MetroEx</t>
        </is>
      </c>
      <c r="G97" s="7" t="inlineStr">
        <is>
          <t>Rail</t>
        </is>
      </c>
      <c r="H97" s="8" t="n">
        <v>1592</v>
      </c>
      <c r="I97" s="9" t="n">
        <v>25153.75</v>
      </c>
      <c r="J97" s="6" t="inlineStr">
        <is>
          <t>Cancelled</t>
        </is>
      </c>
      <c r="K97" s="8" t="n">
        <v>7</v>
      </c>
      <c r="L97" s="8" t="n">
        <v>0</v>
      </c>
      <c r="M97" s="8">
        <f>C97-B97</f>
        <v/>
      </c>
      <c r="N97" s="9">
        <f>I97/H97</f>
        <v/>
      </c>
      <c r="O97" s="6">
        <f>IF(J97="Cancelled","N/A",IF(L97&lt;=K97,"On Time","Late"))</f>
        <v/>
      </c>
    </row>
    <row r="98">
      <c r="A98" s="2" t="inlineStr">
        <is>
          <t>SHP-1097</t>
        </is>
      </c>
      <c r="B98" s="2" t="inlineStr">
        <is>
          <t>2026-02-04</t>
        </is>
      </c>
      <c r="C98" s="2" t="inlineStr">
        <is>
          <t>2026-02-04</t>
        </is>
      </c>
      <c r="D98" s="3" t="inlineStr">
        <is>
          <t>Hub-East</t>
        </is>
      </c>
      <c r="E98" s="3" t="inlineStr">
        <is>
          <t>Chennai</t>
        </is>
      </c>
      <c r="F98" s="3" t="inlineStr">
        <is>
          <t>ApexCargo</t>
        </is>
      </c>
      <c r="G98" s="3" t="inlineStr">
        <is>
          <t>Rail</t>
        </is>
      </c>
      <c r="H98" s="4" t="n">
        <v>1088</v>
      </c>
      <c r="I98" s="5" t="n">
        <v>23907.99</v>
      </c>
      <c r="J98" s="2" t="inlineStr">
        <is>
          <t>In Transit</t>
        </is>
      </c>
      <c r="K98" s="4" t="n">
        <v>5</v>
      </c>
      <c r="L98" s="4" t="n">
        <v>5</v>
      </c>
      <c r="M98" s="4">
        <f>C98-B98</f>
        <v/>
      </c>
      <c r="N98" s="5">
        <f>I98/H98</f>
        <v/>
      </c>
      <c r="O98" s="2">
        <f>IF(J98="Cancelled","N/A",IF(L98&lt;=K98,"On Time","Late"))</f>
        <v/>
      </c>
    </row>
    <row r="99">
      <c r="A99" s="6" t="inlineStr">
        <is>
          <t>SHP-1098</t>
        </is>
      </c>
      <c r="B99" s="6" t="inlineStr">
        <is>
          <t>2026-01-07</t>
        </is>
      </c>
      <c r="C99" s="6" t="inlineStr">
        <is>
          <t>2026-01-07</t>
        </is>
      </c>
      <c r="D99" s="7" t="inlineStr">
        <is>
          <t>Hub-South</t>
        </is>
      </c>
      <c r="E99" s="7" t="inlineStr">
        <is>
          <t>Bangalore</t>
        </is>
      </c>
      <c r="F99" s="7" t="inlineStr">
        <is>
          <t>ApexCargo</t>
        </is>
      </c>
      <c r="G99" s="7" t="inlineStr">
        <is>
          <t>Air</t>
        </is>
      </c>
      <c r="H99" s="8" t="n">
        <v>17</v>
      </c>
      <c r="I99" s="9" t="n">
        <v>1472.36</v>
      </c>
      <c r="J99" s="6" t="inlineStr">
        <is>
          <t>Delivered</t>
        </is>
      </c>
      <c r="K99" s="8" t="n">
        <v>1</v>
      </c>
      <c r="L99" s="8" t="n">
        <v>1</v>
      </c>
      <c r="M99" s="8">
        <f>C99-B99</f>
        <v/>
      </c>
      <c r="N99" s="9">
        <f>I99/H99</f>
        <v/>
      </c>
      <c r="O99" s="6">
        <f>IF(J99="Cancelled","N/A",IF(L99&lt;=K99,"On Time","Late"))</f>
        <v/>
      </c>
    </row>
    <row r="100">
      <c r="A100" s="2" t="inlineStr">
        <is>
          <t>SHP-1099</t>
        </is>
      </c>
      <c r="B100" s="2" t="inlineStr">
        <is>
          <t>2026-01-24</t>
        </is>
      </c>
      <c r="C100" s="2" t="inlineStr">
        <is>
          <t>2026-01-25</t>
        </is>
      </c>
      <c r="D100" s="3" t="inlineStr">
        <is>
          <t>Hub-West</t>
        </is>
      </c>
      <c r="E100" s="3" t="inlineStr">
        <is>
          <t>Chennai</t>
        </is>
      </c>
      <c r="F100" s="3" t="inlineStr">
        <is>
          <t>ApexCargo</t>
        </is>
      </c>
      <c r="G100" s="3" t="inlineStr">
        <is>
          <t>Air</t>
        </is>
      </c>
      <c r="H100" s="4" t="n">
        <v>56</v>
      </c>
      <c r="I100" s="5" t="n">
        <v>5093.17</v>
      </c>
      <c r="J100" s="2" t="inlineStr">
        <is>
          <t>In Transit</t>
        </is>
      </c>
      <c r="K100" s="4" t="n">
        <v>1</v>
      </c>
      <c r="L100" s="4" t="n">
        <v>1</v>
      </c>
      <c r="M100" s="4">
        <f>C100-B100</f>
        <v/>
      </c>
      <c r="N100" s="5">
        <f>I100/H100</f>
        <v/>
      </c>
      <c r="O100" s="2">
        <f>IF(J100="Cancelled","N/A",IF(L100&lt;=K100,"On Time","Late"))</f>
        <v/>
      </c>
    </row>
    <row r="101">
      <c r="A101" s="6" t="inlineStr">
        <is>
          <t>SHP-1100</t>
        </is>
      </c>
      <c r="B101" s="6" t="inlineStr">
        <is>
          <t>2026-02-09</t>
        </is>
      </c>
      <c r="C101" s="6" t="inlineStr">
        <is>
          <t>2026-02-09</t>
        </is>
      </c>
      <c r="D101" s="7" t="inlineStr">
        <is>
          <t>Hub-South</t>
        </is>
      </c>
      <c r="E101" s="7" t="inlineStr">
        <is>
          <t>Bangalore</t>
        </is>
      </c>
      <c r="F101" s="7" t="inlineStr">
        <is>
          <t>SwiftLog</t>
        </is>
      </c>
      <c r="G101" s="7" t="inlineStr">
        <is>
          <t>Air</t>
        </is>
      </c>
      <c r="H101" s="8" t="n">
        <v>75</v>
      </c>
      <c r="I101" s="9" t="n">
        <v>7581.37</v>
      </c>
      <c r="J101" s="6" t="inlineStr">
        <is>
          <t>Cancelled</t>
        </is>
      </c>
      <c r="K101" s="8" t="n">
        <v>1</v>
      </c>
      <c r="L101" s="8" t="n">
        <v>0</v>
      </c>
      <c r="M101" s="8">
        <f>C101-B101</f>
        <v/>
      </c>
      <c r="N101" s="9">
        <f>I101/H101</f>
        <v/>
      </c>
      <c r="O101" s="6">
        <f>IF(J101="Cancelled","N/A",IF(L101&lt;=K101,"On Time","Late"))</f>
        <v/>
      </c>
    </row>
    <row r="102">
      <c r="A102" s="2" t="inlineStr">
        <is>
          <t>SHP-1101</t>
        </is>
      </c>
      <c r="B102" s="2" t="inlineStr">
        <is>
          <t>2026-01-19</t>
        </is>
      </c>
      <c r="C102" s="2" t="inlineStr">
        <is>
          <t>2026-01-21</t>
        </is>
      </c>
      <c r="D102" s="3" t="inlineStr">
        <is>
          <t>Hub-West</t>
        </is>
      </c>
      <c r="E102" s="3" t="inlineStr">
        <is>
          <t>Delhi</t>
        </is>
      </c>
      <c r="F102" s="3" t="inlineStr">
        <is>
          <t>MetroEx</t>
        </is>
      </c>
      <c r="G102" s="3" t="inlineStr">
        <is>
          <t>Air</t>
        </is>
      </c>
      <c r="H102" s="4" t="n">
        <v>86</v>
      </c>
      <c r="I102" s="5" t="n">
        <v>9233.209999999999</v>
      </c>
      <c r="J102" s="2" t="inlineStr">
        <is>
          <t>Delivered</t>
        </is>
      </c>
      <c r="K102" s="4" t="n">
        <v>2</v>
      </c>
      <c r="L102" s="4" t="n">
        <v>2</v>
      </c>
      <c r="M102" s="4">
        <f>C102-B102</f>
        <v/>
      </c>
      <c r="N102" s="5">
        <f>I102/H102</f>
        <v/>
      </c>
      <c r="O102" s="2">
        <f>IF(J102="Cancelled","N/A",IF(L102&lt;=K102,"On Time","Late"))</f>
        <v/>
      </c>
    </row>
    <row r="103">
      <c r="A103" s="6" t="inlineStr">
        <is>
          <t>SHP-1102</t>
        </is>
      </c>
      <c r="B103" s="6" t="inlineStr">
        <is>
          <t>2026-01-20</t>
        </is>
      </c>
      <c r="C103" s="6" t="inlineStr">
        <is>
          <t>2026-01-20</t>
        </is>
      </c>
      <c r="D103" s="7" t="inlineStr">
        <is>
          <t>Hub-South</t>
        </is>
      </c>
      <c r="E103" s="7" t="inlineStr">
        <is>
          <t>Pune</t>
        </is>
      </c>
      <c r="F103" s="7" t="inlineStr">
        <is>
          <t>SwiftLog</t>
        </is>
      </c>
      <c r="G103" s="7" t="inlineStr">
        <is>
          <t>Ground</t>
        </is>
      </c>
      <c r="H103" s="8" t="n">
        <v>345</v>
      </c>
      <c r="I103" s="9" t="n">
        <v>12571.27</v>
      </c>
      <c r="J103" s="6" t="inlineStr">
        <is>
          <t>Delivered</t>
        </is>
      </c>
      <c r="K103" s="8" t="n">
        <v>5</v>
      </c>
      <c r="L103" s="8" t="n">
        <v>7</v>
      </c>
      <c r="M103" s="8">
        <f>C103-B103</f>
        <v/>
      </c>
      <c r="N103" s="9">
        <f>I103/H103</f>
        <v/>
      </c>
      <c r="O103" s="6">
        <f>IF(J103="Cancelled","N/A",IF(L103&lt;=K103,"On Time","Late"))</f>
        <v/>
      </c>
    </row>
    <row r="104">
      <c r="A104" s="2" t="inlineStr">
        <is>
          <t>SHP-1103</t>
        </is>
      </c>
      <c r="B104" s="2" t="inlineStr">
        <is>
          <t>2026-01-19</t>
        </is>
      </c>
      <c r="C104" s="2" t="inlineStr">
        <is>
          <t>2026-01-19</t>
        </is>
      </c>
      <c r="D104" s="3" t="inlineStr">
        <is>
          <t>Hub-South</t>
        </is>
      </c>
      <c r="E104" s="3" t="inlineStr">
        <is>
          <t>Kolkata</t>
        </is>
      </c>
      <c r="F104" s="3" t="inlineStr">
        <is>
          <t>SwiftLog</t>
        </is>
      </c>
      <c r="G104" s="3" t="inlineStr">
        <is>
          <t>Rail</t>
        </is>
      </c>
      <c r="H104" s="4" t="n">
        <v>1904</v>
      </c>
      <c r="I104" s="5" t="n">
        <v>37667.05</v>
      </c>
      <c r="J104" s="2" t="inlineStr">
        <is>
          <t>Cancelled</t>
        </is>
      </c>
      <c r="K104" s="4" t="n">
        <v>5</v>
      </c>
      <c r="L104" s="4" t="n">
        <v>0</v>
      </c>
      <c r="M104" s="4">
        <f>C104-B104</f>
        <v/>
      </c>
      <c r="N104" s="5">
        <f>I104/H104</f>
        <v/>
      </c>
      <c r="O104" s="2">
        <f>IF(J104="Cancelled","N/A",IF(L104&lt;=K104,"On Time","Late"))</f>
        <v/>
      </c>
    </row>
    <row r="105">
      <c r="A105" s="6" t="inlineStr">
        <is>
          <t>SHP-1104</t>
        </is>
      </c>
      <c r="B105" s="6" t="inlineStr">
        <is>
          <t>2026-01-19</t>
        </is>
      </c>
      <c r="C105" s="6" t="inlineStr">
        <is>
          <t>2026-01-19</t>
        </is>
      </c>
      <c r="D105" s="7" t="inlineStr">
        <is>
          <t>Hub-North</t>
        </is>
      </c>
      <c r="E105" s="7" t="inlineStr">
        <is>
          <t>Chennai</t>
        </is>
      </c>
      <c r="F105" s="7" t="inlineStr">
        <is>
          <t>ApexCargo</t>
        </is>
      </c>
      <c r="G105" s="7" t="inlineStr">
        <is>
          <t>Ground</t>
        </is>
      </c>
      <c r="H105" s="8" t="n">
        <v>467</v>
      </c>
      <c r="I105" s="9" t="n">
        <v>14015.85</v>
      </c>
      <c r="J105" s="6" t="inlineStr">
        <is>
          <t>Delivered</t>
        </is>
      </c>
      <c r="K105" s="8" t="n">
        <v>5</v>
      </c>
      <c r="L105" s="8" t="n">
        <v>7</v>
      </c>
      <c r="M105" s="8">
        <f>C105-B105</f>
        <v/>
      </c>
      <c r="N105" s="9">
        <f>I105/H105</f>
        <v/>
      </c>
      <c r="O105" s="6">
        <f>IF(J105="Cancelled","N/A",IF(L105&lt;=K105,"On Time","Late"))</f>
        <v/>
      </c>
    </row>
    <row r="106">
      <c r="A106" s="2" t="inlineStr">
        <is>
          <t>SHP-1105</t>
        </is>
      </c>
      <c r="B106" s="2" t="inlineStr">
        <is>
          <t>2026-01-07</t>
        </is>
      </c>
      <c r="C106" s="2" t="inlineStr">
        <is>
          <t>2026-01-07</t>
        </is>
      </c>
      <c r="D106" s="3" t="inlineStr">
        <is>
          <t>Hub-North</t>
        </is>
      </c>
      <c r="E106" s="3" t="inlineStr">
        <is>
          <t>Pune</t>
        </is>
      </c>
      <c r="F106" s="3" t="inlineStr">
        <is>
          <t>SwiftLog</t>
        </is>
      </c>
      <c r="G106" s="3" t="inlineStr">
        <is>
          <t>Rail</t>
        </is>
      </c>
      <c r="H106" s="4" t="n">
        <v>1247</v>
      </c>
      <c r="I106" s="5" t="n">
        <v>24096.53</v>
      </c>
      <c r="J106" s="2" t="inlineStr">
        <is>
          <t>Delivered</t>
        </is>
      </c>
      <c r="K106" s="4" t="n">
        <v>5</v>
      </c>
      <c r="L106" s="4" t="n">
        <v>5</v>
      </c>
      <c r="M106" s="4">
        <f>C106-B106</f>
        <v/>
      </c>
      <c r="N106" s="5">
        <f>I106/H106</f>
        <v/>
      </c>
      <c r="O106" s="2">
        <f>IF(J106="Cancelled","N/A",IF(L106&lt;=K106,"On Time","Late"))</f>
        <v/>
      </c>
    </row>
    <row r="107">
      <c r="A107" s="6" t="inlineStr">
        <is>
          <t>SHP-1106</t>
        </is>
      </c>
      <c r="B107" s="6" t="inlineStr">
        <is>
          <t>2026-01-27</t>
        </is>
      </c>
      <c r="C107" s="6" t="inlineStr">
        <is>
          <t>2026-01-27</t>
        </is>
      </c>
      <c r="D107" s="7" t="inlineStr">
        <is>
          <t>Hub-West</t>
        </is>
      </c>
      <c r="E107" s="7" t="inlineStr">
        <is>
          <t>Bangalore</t>
        </is>
      </c>
      <c r="F107" s="7" t="inlineStr">
        <is>
          <t>ApexCargo</t>
        </is>
      </c>
      <c r="G107" s="7" t="inlineStr">
        <is>
          <t>Air</t>
        </is>
      </c>
      <c r="H107" s="8" t="n">
        <v>145</v>
      </c>
      <c r="I107" s="9" t="n">
        <v>14871.61</v>
      </c>
      <c r="J107" s="6" t="inlineStr">
        <is>
          <t>Delivered</t>
        </is>
      </c>
      <c r="K107" s="8" t="n">
        <v>2</v>
      </c>
      <c r="L107" s="8" t="n">
        <v>2</v>
      </c>
      <c r="M107" s="8">
        <f>C107-B107</f>
        <v/>
      </c>
      <c r="N107" s="9">
        <f>I107/H107</f>
        <v/>
      </c>
      <c r="O107" s="6">
        <f>IF(J107="Cancelled","N/A",IF(L107&lt;=K107,"On Time","Late"))</f>
        <v/>
      </c>
    </row>
    <row r="108">
      <c r="A108" s="2" t="inlineStr">
        <is>
          <t>SHP-1107</t>
        </is>
      </c>
      <c r="B108" s="2" t="inlineStr">
        <is>
          <t>2026-01-31</t>
        </is>
      </c>
      <c r="C108" s="2" t="inlineStr">
        <is>
          <t>2026-02-01</t>
        </is>
      </c>
      <c r="D108" s="3" t="inlineStr">
        <is>
          <t>Hub-North</t>
        </is>
      </c>
      <c r="E108" s="3" t="inlineStr">
        <is>
          <t>Delhi</t>
        </is>
      </c>
      <c r="F108" s="3" t="inlineStr">
        <is>
          <t>MetroEx</t>
        </is>
      </c>
      <c r="G108" s="3" t="inlineStr">
        <is>
          <t>Ground</t>
        </is>
      </c>
      <c r="H108" s="4" t="n">
        <v>222</v>
      </c>
      <c r="I108" s="5" t="n">
        <v>8898.43</v>
      </c>
      <c r="J108" s="2" t="inlineStr">
        <is>
          <t>In Transit</t>
        </is>
      </c>
      <c r="K108" s="4" t="n">
        <v>3</v>
      </c>
      <c r="L108" s="4" t="n">
        <v>3</v>
      </c>
      <c r="M108" s="4">
        <f>C108-B108</f>
        <v/>
      </c>
      <c r="N108" s="5">
        <f>I108/H108</f>
        <v/>
      </c>
      <c r="O108" s="2">
        <f>IF(J108="Cancelled","N/A",IF(L108&lt;=K108,"On Time","Late"))</f>
        <v/>
      </c>
    </row>
    <row r="109">
      <c r="A109" s="6" t="inlineStr">
        <is>
          <t>SHP-1108</t>
        </is>
      </c>
      <c r="B109" s="6" t="inlineStr">
        <is>
          <t>2026-02-05</t>
        </is>
      </c>
      <c r="C109" s="6" t="inlineStr">
        <is>
          <t>2026-02-06</t>
        </is>
      </c>
      <c r="D109" s="7" t="inlineStr">
        <is>
          <t>Hub-East</t>
        </is>
      </c>
      <c r="E109" s="7" t="inlineStr">
        <is>
          <t>Ahmedabad</t>
        </is>
      </c>
      <c r="F109" s="7" t="inlineStr">
        <is>
          <t>SwiftLog</t>
        </is>
      </c>
      <c r="G109" s="7" t="inlineStr">
        <is>
          <t>Air</t>
        </is>
      </c>
      <c r="H109" s="8" t="n">
        <v>147</v>
      </c>
      <c r="I109" s="9" t="n">
        <v>13130.86</v>
      </c>
      <c r="J109" s="6" t="inlineStr">
        <is>
          <t>Delivered</t>
        </is>
      </c>
      <c r="K109" s="8" t="n">
        <v>2</v>
      </c>
      <c r="L109" s="8" t="n">
        <v>3</v>
      </c>
      <c r="M109" s="8">
        <f>C109-B109</f>
        <v/>
      </c>
      <c r="N109" s="9">
        <f>I109/H109</f>
        <v/>
      </c>
      <c r="O109" s="6">
        <f>IF(J109="Cancelled","N/A",IF(L109&lt;=K109,"On Time","Late"))</f>
        <v/>
      </c>
    </row>
    <row r="110">
      <c r="A110" s="2" t="inlineStr">
        <is>
          <t>SHP-1109</t>
        </is>
      </c>
      <c r="B110" s="2" t="inlineStr">
        <is>
          <t>2026-01-25</t>
        </is>
      </c>
      <c r="C110" s="2" t="inlineStr">
        <is>
          <t>2026-01-26</t>
        </is>
      </c>
      <c r="D110" s="3" t="inlineStr">
        <is>
          <t>Hub-East</t>
        </is>
      </c>
      <c r="E110" s="3" t="inlineStr">
        <is>
          <t>Chennai</t>
        </is>
      </c>
      <c r="F110" s="3" t="inlineStr">
        <is>
          <t>MetroEx</t>
        </is>
      </c>
      <c r="G110" s="3" t="inlineStr">
        <is>
          <t>Ground</t>
        </is>
      </c>
      <c r="H110" s="4" t="n">
        <v>467</v>
      </c>
      <c r="I110" s="5" t="n">
        <v>19933.75</v>
      </c>
      <c r="J110" s="2" t="inlineStr">
        <is>
          <t>Delayed</t>
        </is>
      </c>
      <c r="K110" s="4" t="n">
        <v>5</v>
      </c>
      <c r="L110" s="4" t="n">
        <v>8</v>
      </c>
      <c r="M110" s="4">
        <f>C110-B110</f>
        <v/>
      </c>
      <c r="N110" s="5">
        <f>I110/H110</f>
        <v/>
      </c>
      <c r="O110" s="2">
        <f>IF(J110="Cancelled","N/A",IF(L110&lt;=K110,"On Time","Late"))</f>
        <v/>
      </c>
    </row>
    <row r="111">
      <c r="A111" s="6" t="inlineStr">
        <is>
          <t>SHP-1110</t>
        </is>
      </c>
      <c r="B111" s="6" t="inlineStr">
        <is>
          <t>2026-02-11</t>
        </is>
      </c>
      <c r="C111" s="6" t="inlineStr">
        <is>
          <t>2026-02-11</t>
        </is>
      </c>
      <c r="D111" s="7" t="inlineStr">
        <is>
          <t>Hub-South</t>
        </is>
      </c>
      <c r="E111" s="7" t="inlineStr">
        <is>
          <t>Kolkata</t>
        </is>
      </c>
      <c r="F111" s="7" t="inlineStr">
        <is>
          <t>ApexCargo</t>
        </is>
      </c>
      <c r="G111" s="7" t="inlineStr">
        <is>
          <t>Air</t>
        </is>
      </c>
      <c r="H111" s="8" t="n">
        <v>39</v>
      </c>
      <c r="I111" s="9" t="n">
        <v>3505.8</v>
      </c>
      <c r="J111" s="6" t="inlineStr">
        <is>
          <t>Delivered</t>
        </is>
      </c>
      <c r="K111" s="8" t="n">
        <v>1</v>
      </c>
      <c r="L111" s="8" t="n">
        <v>1</v>
      </c>
      <c r="M111" s="8">
        <f>C111-B111</f>
        <v/>
      </c>
      <c r="N111" s="9">
        <f>I111/H111</f>
        <v/>
      </c>
      <c r="O111" s="6">
        <f>IF(J111="Cancelled","N/A",IF(L111&lt;=K111,"On Time","Late"))</f>
        <v/>
      </c>
    </row>
    <row r="112">
      <c r="A112" s="2" t="inlineStr">
        <is>
          <t>SHP-1111</t>
        </is>
      </c>
      <c r="B112" s="2" t="inlineStr">
        <is>
          <t>2026-01-08</t>
        </is>
      </c>
      <c r="C112" s="2" t="inlineStr">
        <is>
          <t>2026-01-08</t>
        </is>
      </c>
      <c r="D112" s="3" t="inlineStr">
        <is>
          <t>Hub-West</t>
        </is>
      </c>
      <c r="E112" s="3" t="inlineStr">
        <is>
          <t>Bangalore</t>
        </is>
      </c>
      <c r="F112" s="3" t="inlineStr">
        <is>
          <t>MetroEx</t>
        </is>
      </c>
      <c r="G112" s="3" t="inlineStr">
        <is>
          <t>Air</t>
        </is>
      </c>
      <c r="H112" s="4" t="n">
        <v>104</v>
      </c>
      <c r="I112" s="5" t="n">
        <v>11280.57</v>
      </c>
      <c r="J112" s="2" t="inlineStr">
        <is>
          <t>Delivered</t>
        </is>
      </c>
      <c r="K112" s="4" t="n">
        <v>2</v>
      </c>
      <c r="L112" s="4" t="n">
        <v>2</v>
      </c>
      <c r="M112" s="4">
        <f>C112-B112</f>
        <v/>
      </c>
      <c r="N112" s="5">
        <f>I112/H112</f>
        <v/>
      </c>
      <c r="O112" s="2">
        <f>IF(J112="Cancelled","N/A",IF(L112&lt;=K112,"On Time","Late"))</f>
        <v/>
      </c>
    </row>
    <row r="113">
      <c r="A113" s="6" t="inlineStr">
        <is>
          <t>SHP-1112</t>
        </is>
      </c>
      <c r="B113" s="6" t="inlineStr">
        <is>
          <t>2026-02-11</t>
        </is>
      </c>
      <c r="C113" s="6" t="inlineStr">
        <is>
          <t>2026-02-11</t>
        </is>
      </c>
      <c r="D113" s="7" t="inlineStr">
        <is>
          <t>Hub-South</t>
        </is>
      </c>
      <c r="E113" s="7" t="inlineStr">
        <is>
          <t>Ahmedabad</t>
        </is>
      </c>
      <c r="F113" s="7" t="inlineStr">
        <is>
          <t>MetroEx</t>
        </is>
      </c>
      <c r="G113" s="7" t="inlineStr">
        <is>
          <t>Ground</t>
        </is>
      </c>
      <c r="H113" s="8" t="n">
        <v>503</v>
      </c>
      <c r="I113" s="9" t="n">
        <v>16302.53</v>
      </c>
      <c r="J113" s="6" t="inlineStr">
        <is>
          <t>Cancelled</t>
        </is>
      </c>
      <c r="K113" s="8" t="n">
        <v>4</v>
      </c>
      <c r="L113" s="8" t="n">
        <v>0</v>
      </c>
      <c r="M113" s="8">
        <f>C113-B113</f>
        <v/>
      </c>
      <c r="N113" s="9">
        <f>I113/H113</f>
        <v/>
      </c>
      <c r="O113" s="6">
        <f>IF(J113="Cancelled","N/A",IF(L113&lt;=K113,"On Time","Late"))</f>
        <v/>
      </c>
    </row>
    <row r="114">
      <c r="A114" s="2" t="inlineStr">
        <is>
          <t>SHP-1113</t>
        </is>
      </c>
      <c r="B114" s="2" t="inlineStr">
        <is>
          <t>2026-01-16</t>
        </is>
      </c>
      <c r="C114" s="2" t="inlineStr">
        <is>
          <t>2026-01-17</t>
        </is>
      </c>
      <c r="D114" s="3" t="inlineStr">
        <is>
          <t>Hub-East</t>
        </is>
      </c>
      <c r="E114" s="3" t="inlineStr">
        <is>
          <t>Hyderabad</t>
        </is>
      </c>
      <c r="F114" s="3" t="inlineStr">
        <is>
          <t>ApexCargo</t>
        </is>
      </c>
      <c r="G114" s="3" t="inlineStr">
        <is>
          <t>Rail</t>
        </is>
      </c>
      <c r="H114" s="4" t="n">
        <v>1234</v>
      </c>
      <c r="I114" s="5" t="n">
        <v>15555.19</v>
      </c>
      <c r="J114" s="2" t="inlineStr">
        <is>
          <t>Delivered</t>
        </is>
      </c>
      <c r="K114" s="4" t="n">
        <v>7</v>
      </c>
      <c r="L114" s="4" t="n">
        <v>6</v>
      </c>
      <c r="M114" s="4">
        <f>C114-B114</f>
        <v/>
      </c>
      <c r="N114" s="5">
        <f>I114/H114</f>
        <v/>
      </c>
      <c r="O114" s="2">
        <f>IF(J114="Cancelled","N/A",IF(L114&lt;=K114,"On Time","Late"))</f>
        <v/>
      </c>
    </row>
    <row r="115">
      <c r="A115" s="6" t="inlineStr">
        <is>
          <t>SHP-1114</t>
        </is>
      </c>
      <c r="B115" s="6" t="inlineStr">
        <is>
          <t>2026-01-30</t>
        </is>
      </c>
      <c r="C115" s="6" t="inlineStr">
        <is>
          <t>2026-01-30</t>
        </is>
      </c>
      <c r="D115" s="7" t="inlineStr">
        <is>
          <t>Hub-West</t>
        </is>
      </c>
      <c r="E115" s="7" t="inlineStr">
        <is>
          <t>Mumbai</t>
        </is>
      </c>
      <c r="F115" s="7" t="inlineStr">
        <is>
          <t>SwiftLog</t>
        </is>
      </c>
      <c r="G115" s="7" t="inlineStr">
        <is>
          <t>Air</t>
        </is>
      </c>
      <c r="H115" s="8" t="n">
        <v>72</v>
      </c>
      <c r="I115" s="9" t="n">
        <v>8611.83</v>
      </c>
      <c r="J115" s="6" t="inlineStr">
        <is>
          <t>Delivered</t>
        </is>
      </c>
      <c r="K115" s="8" t="n">
        <v>1</v>
      </c>
      <c r="L115" s="8" t="n">
        <v>2</v>
      </c>
      <c r="M115" s="8">
        <f>C115-B115</f>
        <v/>
      </c>
      <c r="N115" s="9">
        <f>I115/H115</f>
        <v/>
      </c>
      <c r="O115" s="6">
        <f>IF(J115="Cancelled","N/A",IF(L115&lt;=K115,"On Time","Late"))</f>
        <v/>
      </c>
    </row>
    <row r="116">
      <c r="A116" s="2" t="inlineStr">
        <is>
          <t>SHP-1115</t>
        </is>
      </c>
      <c r="B116" s="2" t="inlineStr">
        <is>
          <t>2026-01-14</t>
        </is>
      </c>
      <c r="C116" s="2" t="inlineStr">
        <is>
          <t>2026-01-16</t>
        </is>
      </c>
      <c r="D116" s="3" t="inlineStr">
        <is>
          <t>Hub-West</t>
        </is>
      </c>
      <c r="E116" s="3" t="inlineStr">
        <is>
          <t>Chennai</t>
        </is>
      </c>
      <c r="F116" s="3" t="inlineStr">
        <is>
          <t>MetroEx</t>
        </is>
      </c>
      <c r="G116" s="3" t="inlineStr">
        <is>
          <t>Ground</t>
        </is>
      </c>
      <c r="H116" s="4" t="n">
        <v>553</v>
      </c>
      <c r="I116" s="5" t="n">
        <v>23784.87</v>
      </c>
      <c r="J116" s="2" t="inlineStr">
        <is>
          <t>Delivered</t>
        </is>
      </c>
      <c r="K116" s="4" t="n">
        <v>3</v>
      </c>
      <c r="L116" s="4" t="n">
        <v>3</v>
      </c>
      <c r="M116" s="4">
        <f>C116-B116</f>
        <v/>
      </c>
      <c r="N116" s="5">
        <f>I116/H116</f>
        <v/>
      </c>
      <c r="O116" s="2">
        <f>IF(J116="Cancelled","N/A",IF(L116&lt;=K116,"On Time","Late"))</f>
        <v/>
      </c>
    </row>
    <row r="117">
      <c r="A117" s="6" t="inlineStr">
        <is>
          <t>SHP-1116</t>
        </is>
      </c>
      <c r="B117" s="6" t="inlineStr">
        <is>
          <t>2026-01-09</t>
        </is>
      </c>
      <c r="C117" s="6" t="inlineStr">
        <is>
          <t>2026-01-11</t>
        </is>
      </c>
      <c r="D117" s="7" t="inlineStr">
        <is>
          <t>Hub-North</t>
        </is>
      </c>
      <c r="E117" s="7" t="inlineStr">
        <is>
          <t>Bangalore</t>
        </is>
      </c>
      <c r="F117" s="7" t="inlineStr">
        <is>
          <t>SwiftLog</t>
        </is>
      </c>
      <c r="G117" s="7" t="inlineStr">
        <is>
          <t>Rail</t>
        </is>
      </c>
      <c r="H117" s="8" t="n">
        <v>552</v>
      </c>
      <c r="I117" s="9" t="n">
        <v>7351.55</v>
      </c>
      <c r="J117" s="6" t="inlineStr">
        <is>
          <t>Delivered</t>
        </is>
      </c>
      <c r="K117" s="8" t="n">
        <v>7</v>
      </c>
      <c r="L117" s="8" t="n">
        <v>8</v>
      </c>
      <c r="M117" s="8">
        <f>C117-B117</f>
        <v/>
      </c>
      <c r="N117" s="9">
        <f>I117/H117</f>
        <v/>
      </c>
      <c r="O117" s="6">
        <f>IF(J117="Cancelled","N/A",IF(L117&lt;=K117,"On Time","Late"))</f>
        <v/>
      </c>
    </row>
    <row r="118">
      <c r="A118" s="2" t="inlineStr">
        <is>
          <t>SHP-1117</t>
        </is>
      </c>
      <c r="B118" s="2" t="inlineStr">
        <is>
          <t>2026-01-21</t>
        </is>
      </c>
      <c r="C118" s="2" t="inlineStr">
        <is>
          <t>2026-01-21</t>
        </is>
      </c>
      <c r="D118" s="3" t="inlineStr">
        <is>
          <t>Hub-West</t>
        </is>
      </c>
      <c r="E118" s="3" t="inlineStr">
        <is>
          <t>Kolkata</t>
        </is>
      </c>
      <c r="F118" s="3" t="inlineStr">
        <is>
          <t>SwiftLog</t>
        </is>
      </c>
      <c r="G118" s="3" t="inlineStr">
        <is>
          <t>Ground</t>
        </is>
      </c>
      <c r="H118" s="4" t="n">
        <v>529</v>
      </c>
      <c r="I118" s="5" t="n">
        <v>17678.76</v>
      </c>
      <c r="J118" s="2" t="inlineStr">
        <is>
          <t>Delivered</t>
        </is>
      </c>
      <c r="K118" s="4" t="n">
        <v>3</v>
      </c>
      <c r="L118" s="4" t="n">
        <v>3</v>
      </c>
      <c r="M118" s="4">
        <f>C118-B118</f>
        <v/>
      </c>
      <c r="N118" s="5">
        <f>I118/H118</f>
        <v/>
      </c>
      <c r="O118" s="2">
        <f>IF(J118="Cancelled","N/A",IF(L118&lt;=K118,"On Time","Late"))</f>
        <v/>
      </c>
    </row>
    <row r="119">
      <c r="A119" s="6" t="inlineStr">
        <is>
          <t>SHP-1118</t>
        </is>
      </c>
      <c r="B119" s="6" t="inlineStr">
        <is>
          <t>2026-01-29</t>
        </is>
      </c>
      <c r="C119" s="6" t="inlineStr">
        <is>
          <t>2026-01-30</t>
        </is>
      </c>
      <c r="D119" s="7" t="inlineStr">
        <is>
          <t>Hub-East</t>
        </is>
      </c>
      <c r="E119" s="7" t="inlineStr">
        <is>
          <t>Pune</t>
        </is>
      </c>
      <c r="F119" s="7" t="inlineStr">
        <is>
          <t>ApexCargo</t>
        </is>
      </c>
      <c r="G119" s="7" t="inlineStr">
        <is>
          <t>Ground</t>
        </is>
      </c>
      <c r="H119" s="8" t="n">
        <v>464</v>
      </c>
      <c r="I119" s="9" t="n">
        <v>12002.43</v>
      </c>
      <c r="J119" s="6" t="inlineStr">
        <is>
          <t>Delivered</t>
        </is>
      </c>
      <c r="K119" s="8" t="n">
        <v>5</v>
      </c>
      <c r="L119" s="8" t="n">
        <v>5</v>
      </c>
      <c r="M119" s="8">
        <f>C119-B119</f>
        <v/>
      </c>
      <c r="N119" s="9">
        <f>I119/H119</f>
        <v/>
      </c>
      <c r="O119" s="6">
        <f>IF(J119="Cancelled","N/A",IF(L119&lt;=K119,"On Time","Late"))</f>
        <v/>
      </c>
    </row>
    <row r="120">
      <c r="A120" s="2" t="inlineStr">
        <is>
          <t>SHP-1119</t>
        </is>
      </c>
      <c r="B120" s="2" t="inlineStr">
        <is>
          <t>2026-02-11</t>
        </is>
      </c>
      <c r="C120" s="2" t="inlineStr">
        <is>
          <t>2026-02-11</t>
        </is>
      </c>
      <c r="D120" s="3" t="inlineStr">
        <is>
          <t>Hub-East</t>
        </is>
      </c>
      <c r="E120" s="3" t="inlineStr">
        <is>
          <t>Pune</t>
        </is>
      </c>
      <c r="F120" s="3" t="inlineStr">
        <is>
          <t>MetroEx</t>
        </is>
      </c>
      <c r="G120" s="3" t="inlineStr">
        <is>
          <t>Air</t>
        </is>
      </c>
      <c r="H120" s="4" t="n">
        <v>37</v>
      </c>
      <c r="I120" s="5" t="n">
        <v>3779.9</v>
      </c>
      <c r="J120" s="2" t="inlineStr">
        <is>
          <t>Delivered</t>
        </is>
      </c>
      <c r="K120" s="4" t="n">
        <v>2</v>
      </c>
      <c r="L120" s="4" t="n">
        <v>1</v>
      </c>
      <c r="M120" s="4">
        <f>C120-B120</f>
        <v/>
      </c>
      <c r="N120" s="5">
        <f>I120/H120</f>
        <v/>
      </c>
      <c r="O120" s="2">
        <f>IF(J120="Cancelled","N/A",IF(L120&lt;=K120,"On Time","Late"))</f>
        <v/>
      </c>
    </row>
    <row r="121">
      <c r="A121" s="6" t="inlineStr">
        <is>
          <t>SHP-1120</t>
        </is>
      </c>
      <c r="B121" s="6" t="inlineStr">
        <is>
          <t>2026-01-21</t>
        </is>
      </c>
      <c r="C121" s="6" t="inlineStr">
        <is>
          <t>2026-01-23</t>
        </is>
      </c>
      <c r="D121" s="7" t="inlineStr">
        <is>
          <t>Hub-West</t>
        </is>
      </c>
      <c r="E121" s="7" t="inlineStr">
        <is>
          <t>Delhi</t>
        </is>
      </c>
      <c r="F121" s="7" t="inlineStr">
        <is>
          <t>SwiftLog</t>
        </is>
      </c>
      <c r="G121" s="7" t="inlineStr">
        <is>
          <t>Air</t>
        </is>
      </c>
      <c r="H121" s="8" t="n">
        <v>150</v>
      </c>
      <c r="I121" s="9" t="n">
        <v>16488.8</v>
      </c>
      <c r="J121" s="6" t="inlineStr">
        <is>
          <t>Delivered</t>
        </is>
      </c>
      <c r="K121" s="8" t="n">
        <v>2</v>
      </c>
      <c r="L121" s="8" t="n">
        <v>2</v>
      </c>
      <c r="M121" s="8">
        <f>C121-B121</f>
        <v/>
      </c>
      <c r="N121" s="9">
        <f>I121/H121</f>
        <v/>
      </c>
      <c r="O121" s="6">
        <f>IF(J121="Cancelled","N/A",IF(L121&lt;=K121,"On Time","Late"))</f>
        <v/>
      </c>
    </row>
    <row r="122">
      <c r="A122" s="2" t="inlineStr">
        <is>
          <t>SHP-1121</t>
        </is>
      </c>
      <c r="B122" s="2" t="inlineStr">
        <is>
          <t>2026-02-02</t>
        </is>
      </c>
      <c r="C122" s="2" t="inlineStr">
        <is>
          <t>2026-02-04</t>
        </is>
      </c>
      <c r="D122" s="3" t="inlineStr">
        <is>
          <t>Hub-South</t>
        </is>
      </c>
      <c r="E122" s="3" t="inlineStr">
        <is>
          <t>Delhi</t>
        </is>
      </c>
      <c r="F122" s="3" t="inlineStr">
        <is>
          <t>ApexCargo</t>
        </is>
      </c>
      <c r="G122" s="3" t="inlineStr">
        <is>
          <t>Ground</t>
        </is>
      </c>
      <c r="H122" s="4" t="n">
        <v>586</v>
      </c>
      <c r="I122" s="5" t="n">
        <v>22323.24</v>
      </c>
      <c r="J122" s="2" t="inlineStr">
        <is>
          <t>Delivered</t>
        </is>
      </c>
      <c r="K122" s="4" t="n">
        <v>5</v>
      </c>
      <c r="L122" s="4" t="n">
        <v>5</v>
      </c>
      <c r="M122" s="4">
        <f>C122-B122</f>
        <v/>
      </c>
      <c r="N122" s="5">
        <f>I122/H122</f>
        <v/>
      </c>
      <c r="O122" s="2">
        <f>IF(J122="Cancelled","N/A",IF(L122&lt;=K122,"On Time","Late"))</f>
        <v/>
      </c>
    </row>
    <row r="123">
      <c r="A123" s="6" t="inlineStr">
        <is>
          <t>SHP-1122</t>
        </is>
      </c>
      <c r="B123" s="6" t="inlineStr">
        <is>
          <t>2026-01-29</t>
        </is>
      </c>
      <c r="C123" s="6" t="inlineStr">
        <is>
          <t>2026-01-29</t>
        </is>
      </c>
      <c r="D123" s="7" t="inlineStr">
        <is>
          <t>Hub-South</t>
        </is>
      </c>
      <c r="E123" s="7" t="inlineStr">
        <is>
          <t>Hyderabad</t>
        </is>
      </c>
      <c r="F123" s="7" t="inlineStr">
        <is>
          <t>MetroEx</t>
        </is>
      </c>
      <c r="G123" s="7" t="inlineStr">
        <is>
          <t>Air</t>
        </is>
      </c>
      <c r="H123" s="8" t="n">
        <v>116</v>
      </c>
      <c r="I123" s="9" t="n">
        <v>12822.23</v>
      </c>
      <c r="J123" s="6" t="inlineStr">
        <is>
          <t>In Transit</t>
        </is>
      </c>
      <c r="K123" s="8" t="n">
        <v>2</v>
      </c>
      <c r="L123" s="8" t="n">
        <v>2</v>
      </c>
      <c r="M123" s="8">
        <f>C123-B123</f>
        <v/>
      </c>
      <c r="N123" s="9">
        <f>I123/H123</f>
        <v/>
      </c>
      <c r="O123" s="6">
        <f>IF(J123="Cancelled","N/A",IF(L123&lt;=K123,"On Time","Late"))</f>
        <v/>
      </c>
    </row>
    <row r="124">
      <c r="A124" s="2" t="inlineStr">
        <is>
          <t>SHP-1123</t>
        </is>
      </c>
      <c r="B124" s="2" t="inlineStr">
        <is>
          <t>2026-01-21</t>
        </is>
      </c>
      <c r="C124" s="2" t="inlineStr">
        <is>
          <t>2026-01-22</t>
        </is>
      </c>
      <c r="D124" s="3" t="inlineStr">
        <is>
          <t>Hub-North</t>
        </is>
      </c>
      <c r="E124" s="3" t="inlineStr">
        <is>
          <t>Bangalore</t>
        </is>
      </c>
      <c r="F124" s="3" t="inlineStr">
        <is>
          <t>ApexCargo</t>
        </is>
      </c>
      <c r="G124" s="3" t="inlineStr">
        <is>
          <t>Air</t>
        </is>
      </c>
      <c r="H124" s="4" t="n">
        <v>27</v>
      </c>
      <c r="I124" s="5" t="n">
        <v>2381.21</v>
      </c>
      <c r="J124" s="2" t="inlineStr">
        <is>
          <t>Delivered</t>
        </is>
      </c>
      <c r="K124" s="4" t="n">
        <v>1</v>
      </c>
      <c r="L124" s="4" t="n">
        <v>1</v>
      </c>
      <c r="M124" s="4">
        <f>C124-B124</f>
        <v/>
      </c>
      <c r="N124" s="5">
        <f>I124/H124</f>
        <v/>
      </c>
      <c r="O124" s="2">
        <f>IF(J124="Cancelled","N/A",IF(L124&lt;=K124,"On Time","Late"))</f>
        <v/>
      </c>
    </row>
    <row r="125">
      <c r="A125" s="6" t="inlineStr">
        <is>
          <t>SHP-1124</t>
        </is>
      </c>
      <c r="B125" s="6" t="inlineStr">
        <is>
          <t>2026-01-07</t>
        </is>
      </c>
      <c r="C125" s="6" t="inlineStr">
        <is>
          <t>2026-01-08</t>
        </is>
      </c>
      <c r="D125" s="7" t="inlineStr">
        <is>
          <t>Hub-West</t>
        </is>
      </c>
      <c r="E125" s="7" t="inlineStr">
        <is>
          <t>Mumbai</t>
        </is>
      </c>
      <c r="F125" s="7" t="inlineStr">
        <is>
          <t>ApexCargo</t>
        </is>
      </c>
      <c r="G125" s="7" t="inlineStr">
        <is>
          <t>Rail</t>
        </is>
      </c>
      <c r="H125" s="8" t="n">
        <v>1650</v>
      </c>
      <c r="I125" s="9" t="n">
        <v>25239.16</v>
      </c>
      <c r="J125" s="6" t="inlineStr">
        <is>
          <t>In Transit</t>
        </is>
      </c>
      <c r="K125" s="8" t="n">
        <v>5</v>
      </c>
      <c r="L125" s="8" t="n">
        <v>5</v>
      </c>
      <c r="M125" s="8">
        <f>C125-B125</f>
        <v/>
      </c>
      <c r="N125" s="9">
        <f>I125/H125</f>
        <v/>
      </c>
      <c r="O125" s="6">
        <f>IF(J125="Cancelled","N/A",IF(L125&lt;=K125,"On Time","Late"))</f>
        <v/>
      </c>
    </row>
    <row r="126">
      <c r="A126" s="2" t="inlineStr">
        <is>
          <t>SHP-1125</t>
        </is>
      </c>
      <c r="B126" s="2" t="inlineStr">
        <is>
          <t>2026-01-23</t>
        </is>
      </c>
      <c r="C126" s="2" t="inlineStr">
        <is>
          <t>2026-01-24</t>
        </is>
      </c>
      <c r="D126" s="3" t="inlineStr">
        <is>
          <t>Hub-East</t>
        </is>
      </c>
      <c r="E126" s="3" t="inlineStr">
        <is>
          <t>Kolkata</t>
        </is>
      </c>
      <c r="F126" s="3" t="inlineStr">
        <is>
          <t>ApexCargo</t>
        </is>
      </c>
      <c r="G126" s="3" t="inlineStr">
        <is>
          <t>Air</t>
        </is>
      </c>
      <c r="H126" s="4" t="n">
        <v>100</v>
      </c>
      <c r="I126" s="5" t="n">
        <v>8862.6</v>
      </c>
      <c r="J126" s="2" t="inlineStr">
        <is>
          <t>Delivered</t>
        </is>
      </c>
      <c r="K126" s="4" t="n">
        <v>1</v>
      </c>
      <c r="L126" s="4" t="n">
        <v>3</v>
      </c>
      <c r="M126" s="4">
        <f>C126-B126</f>
        <v/>
      </c>
      <c r="N126" s="5">
        <f>I126/H126</f>
        <v/>
      </c>
      <c r="O126" s="2">
        <f>IF(J126="Cancelled","N/A",IF(L126&lt;=K126,"On Time","Late"))</f>
        <v/>
      </c>
    </row>
    <row r="127">
      <c r="A127" s="6" t="inlineStr">
        <is>
          <t>SHP-1126</t>
        </is>
      </c>
      <c r="B127" s="6" t="inlineStr">
        <is>
          <t>2026-01-31</t>
        </is>
      </c>
      <c r="C127" s="6" t="inlineStr">
        <is>
          <t>2026-01-31</t>
        </is>
      </c>
      <c r="D127" s="7" t="inlineStr">
        <is>
          <t>Hub-East</t>
        </is>
      </c>
      <c r="E127" s="7" t="inlineStr">
        <is>
          <t>Hyderabad</t>
        </is>
      </c>
      <c r="F127" s="7" t="inlineStr">
        <is>
          <t>ApexCargo</t>
        </is>
      </c>
      <c r="G127" s="7" t="inlineStr">
        <is>
          <t>Air</t>
        </is>
      </c>
      <c r="H127" s="8" t="n">
        <v>39</v>
      </c>
      <c r="I127" s="9" t="n">
        <v>4355.96</v>
      </c>
      <c r="J127" s="6" t="inlineStr">
        <is>
          <t>In Transit</t>
        </is>
      </c>
      <c r="K127" s="8" t="n">
        <v>1</v>
      </c>
      <c r="L127" s="8" t="n">
        <v>1</v>
      </c>
      <c r="M127" s="8">
        <f>C127-B127</f>
        <v/>
      </c>
      <c r="N127" s="9">
        <f>I127/H127</f>
        <v/>
      </c>
      <c r="O127" s="6">
        <f>IF(J127="Cancelled","N/A",IF(L127&lt;=K127,"On Time","Late"))</f>
        <v/>
      </c>
    </row>
    <row r="128">
      <c r="A128" s="2" t="inlineStr">
        <is>
          <t>SHP-1127</t>
        </is>
      </c>
      <c r="B128" s="2" t="inlineStr">
        <is>
          <t>2026-02-05</t>
        </is>
      </c>
      <c r="C128" s="2" t="inlineStr">
        <is>
          <t>2026-02-07</t>
        </is>
      </c>
      <c r="D128" s="3" t="inlineStr">
        <is>
          <t>Hub-East</t>
        </is>
      </c>
      <c r="E128" s="3" t="inlineStr">
        <is>
          <t>Kolkata</t>
        </is>
      </c>
      <c r="F128" s="3" t="inlineStr">
        <is>
          <t>SwiftLog</t>
        </is>
      </c>
      <c r="G128" s="3" t="inlineStr">
        <is>
          <t>Ground</t>
        </is>
      </c>
      <c r="H128" s="4" t="n">
        <v>289</v>
      </c>
      <c r="I128" s="5" t="n">
        <v>11286.6</v>
      </c>
      <c r="J128" s="2" t="inlineStr">
        <is>
          <t>Delayed</t>
        </is>
      </c>
      <c r="K128" s="4" t="n">
        <v>4</v>
      </c>
      <c r="L128" s="4" t="n">
        <v>8</v>
      </c>
      <c r="M128" s="4">
        <f>C128-B128</f>
        <v/>
      </c>
      <c r="N128" s="5">
        <f>I128/H128</f>
        <v/>
      </c>
      <c r="O128" s="2">
        <f>IF(J128="Cancelled","N/A",IF(L128&lt;=K128,"On Time","Late"))</f>
        <v/>
      </c>
    </row>
    <row r="129">
      <c r="A129" s="6" t="inlineStr">
        <is>
          <t>SHP-1128</t>
        </is>
      </c>
      <c r="B129" s="6" t="inlineStr">
        <is>
          <t>2026-01-01</t>
        </is>
      </c>
      <c r="C129" s="6" t="inlineStr">
        <is>
          <t>2026-01-01</t>
        </is>
      </c>
      <c r="D129" s="7" t="inlineStr">
        <is>
          <t>Hub-West</t>
        </is>
      </c>
      <c r="E129" s="7" t="inlineStr">
        <is>
          <t>Ahmedabad</t>
        </is>
      </c>
      <c r="F129" s="7" t="inlineStr">
        <is>
          <t>SwiftLog</t>
        </is>
      </c>
      <c r="G129" s="7" t="inlineStr">
        <is>
          <t>Ground</t>
        </is>
      </c>
      <c r="H129" s="8" t="n">
        <v>529</v>
      </c>
      <c r="I129" s="9" t="n">
        <v>19923.96</v>
      </c>
      <c r="J129" s="6" t="inlineStr">
        <is>
          <t>Delivered</t>
        </is>
      </c>
      <c r="K129" s="8" t="n">
        <v>3</v>
      </c>
      <c r="L129" s="8" t="n">
        <v>5</v>
      </c>
      <c r="M129" s="8">
        <f>C129-B129</f>
        <v/>
      </c>
      <c r="N129" s="9">
        <f>I129/H129</f>
        <v/>
      </c>
      <c r="O129" s="6">
        <f>IF(J129="Cancelled","N/A",IF(L129&lt;=K129,"On Time","Late"))</f>
        <v/>
      </c>
    </row>
    <row r="130">
      <c r="A130" s="2" t="inlineStr">
        <is>
          <t>SHP-1129</t>
        </is>
      </c>
      <c r="B130" s="2" t="inlineStr">
        <is>
          <t>2026-02-03</t>
        </is>
      </c>
      <c r="C130" s="2" t="inlineStr">
        <is>
          <t>2026-02-03</t>
        </is>
      </c>
      <c r="D130" s="3" t="inlineStr">
        <is>
          <t>Hub-South</t>
        </is>
      </c>
      <c r="E130" s="3" t="inlineStr">
        <is>
          <t>Ahmedabad</t>
        </is>
      </c>
      <c r="F130" s="3" t="inlineStr">
        <is>
          <t>MetroEx</t>
        </is>
      </c>
      <c r="G130" s="3" t="inlineStr">
        <is>
          <t>Air</t>
        </is>
      </c>
      <c r="H130" s="4" t="n">
        <v>50</v>
      </c>
      <c r="I130" s="5" t="n">
        <v>4897.59</v>
      </c>
      <c r="J130" s="2" t="inlineStr">
        <is>
          <t>Delivered</t>
        </is>
      </c>
      <c r="K130" s="4" t="n">
        <v>2</v>
      </c>
      <c r="L130" s="4" t="n">
        <v>1</v>
      </c>
      <c r="M130" s="4">
        <f>C130-B130</f>
        <v/>
      </c>
      <c r="N130" s="5">
        <f>I130/H130</f>
        <v/>
      </c>
      <c r="O130" s="2">
        <f>IF(J130="Cancelled","N/A",IF(L130&lt;=K130,"On Time","Late"))</f>
        <v/>
      </c>
    </row>
    <row r="131">
      <c r="A131" s="6" t="inlineStr">
        <is>
          <t>SHP-1130</t>
        </is>
      </c>
      <c r="B131" s="6" t="inlineStr">
        <is>
          <t>2026-01-10</t>
        </is>
      </c>
      <c r="C131" s="6" t="inlineStr">
        <is>
          <t>2026-01-10</t>
        </is>
      </c>
      <c r="D131" s="7" t="inlineStr">
        <is>
          <t>Hub-East</t>
        </is>
      </c>
      <c r="E131" s="7" t="inlineStr">
        <is>
          <t>Delhi</t>
        </is>
      </c>
      <c r="F131" s="7" t="inlineStr">
        <is>
          <t>MetroEx</t>
        </is>
      </c>
      <c r="G131" s="7" t="inlineStr">
        <is>
          <t>Air</t>
        </is>
      </c>
      <c r="H131" s="8" t="n">
        <v>118</v>
      </c>
      <c r="I131" s="9" t="n">
        <v>12035.78</v>
      </c>
      <c r="J131" s="6" t="inlineStr">
        <is>
          <t>In Transit</t>
        </is>
      </c>
      <c r="K131" s="8" t="n">
        <v>2</v>
      </c>
      <c r="L131" s="8" t="n">
        <v>2</v>
      </c>
      <c r="M131" s="8">
        <f>C131-B131</f>
        <v/>
      </c>
      <c r="N131" s="9">
        <f>I131/H131</f>
        <v/>
      </c>
      <c r="O131" s="6">
        <f>IF(J131="Cancelled","N/A",IF(L131&lt;=K131,"On Time","Late"))</f>
        <v/>
      </c>
    </row>
    <row r="132">
      <c r="A132" s="2" t="inlineStr">
        <is>
          <t>SHP-1131</t>
        </is>
      </c>
      <c r="B132" s="2" t="inlineStr">
        <is>
          <t>2026-01-18</t>
        </is>
      </c>
      <c r="C132" s="2" t="inlineStr">
        <is>
          <t>2026-01-18</t>
        </is>
      </c>
      <c r="D132" s="3" t="inlineStr">
        <is>
          <t>Hub-East</t>
        </is>
      </c>
      <c r="E132" s="3" t="inlineStr">
        <is>
          <t>Hyderabad</t>
        </is>
      </c>
      <c r="F132" s="3" t="inlineStr">
        <is>
          <t>MetroEx</t>
        </is>
      </c>
      <c r="G132" s="3" t="inlineStr">
        <is>
          <t>Ground</t>
        </is>
      </c>
      <c r="H132" s="4" t="n">
        <v>295</v>
      </c>
      <c r="I132" s="5" t="n">
        <v>11376.49</v>
      </c>
      <c r="J132" s="2" t="inlineStr">
        <is>
          <t>Cancelled</t>
        </is>
      </c>
      <c r="K132" s="4" t="n">
        <v>5</v>
      </c>
      <c r="L132" s="4" t="n">
        <v>0</v>
      </c>
      <c r="M132" s="4">
        <f>C132-B132</f>
        <v/>
      </c>
      <c r="N132" s="5">
        <f>I132/H132</f>
        <v/>
      </c>
      <c r="O132" s="2">
        <f>IF(J132="Cancelled","N/A",IF(L132&lt;=K132,"On Time","Late"))</f>
        <v/>
      </c>
    </row>
    <row r="133">
      <c r="A133" s="6" t="inlineStr">
        <is>
          <t>SHP-1132</t>
        </is>
      </c>
      <c r="B133" s="6" t="inlineStr">
        <is>
          <t>2026-02-03</t>
        </is>
      </c>
      <c r="C133" s="6" t="inlineStr">
        <is>
          <t>2026-02-04</t>
        </is>
      </c>
      <c r="D133" s="7" t="inlineStr">
        <is>
          <t>Hub-East</t>
        </is>
      </c>
      <c r="E133" s="7" t="inlineStr">
        <is>
          <t>Chennai</t>
        </is>
      </c>
      <c r="F133" s="7" t="inlineStr">
        <is>
          <t>MetroEx</t>
        </is>
      </c>
      <c r="G133" s="7" t="inlineStr">
        <is>
          <t>Rail</t>
        </is>
      </c>
      <c r="H133" s="8" t="n">
        <v>612</v>
      </c>
      <c r="I133" s="9" t="n">
        <v>7391.04</v>
      </c>
      <c r="J133" s="6" t="inlineStr">
        <is>
          <t>Delivered</t>
        </is>
      </c>
      <c r="K133" s="8" t="n">
        <v>7</v>
      </c>
      <c r="L133" s="8" t="n">
        <v>7</v>
      </c>
      <c r="M133" s="8">
        <f>C133-B133</f>
        <v/>
      </c>
      <c r="N133" s="9">
        <f>I133/H133</f>
        <v/>
      </c>
      <c r="O133" s="6">
        <f>IF(J133="Cancelled","N/A",IF(L133&lt;=K133,"On Time","Late"))</f>
        <v/>
      </c>
    </row>
    <row r="134">
      <c r="A134" s="2" t="inlineStr">
        <is>
          <t>SHP-1133</t>
        </is>
      </c>
      <c r="B134" s="2" t="inlineStr">
        <is>
          <t>2026-01-17</t>
        </is>
      </c>
      <c r="C134" s="2" t="inlineStr">
        <is>
          <t>2026-01-18</t>
        </is>
      </c>
      <c r="D134" s="3" t="inlineStr">
        <is>
          <t>Hub-North</t>
        </is>
      </c>
      <c r="E134" s="3" t="inlineStr">
        <is>
          <t>Delhi</t>
        </is>
      </c>
      <c r="F134" s="3" t="inlineStr">
        <is>
          <t>SwiftLog</t>
        </is>
      </c>
      <c r="G134" s="3" t="inlineStr">
        <is>
          <t>Air</t>
        </is>
      </c>
      <c r="H134" s="4" t="n">
        <v>120</v>
      </c>
      <c r="I134" s="5" t="n">
        <v>10937.92</v>
      </c>
      <c r="J134" s="2" t="inlineStr">
        <is>
          <t>Delivered</t>
        </is>
      </c>
      <c r="K134" s="4" t="n">
        <v>2</v>
      </c>
      <c r="L134" s="4" t="n">
        <v>3</v>
      </c>
      <c r="M134" s="4">
        <f>C134-B134</f>
        <v/>
      </c>
      <c r="N134" s="5">
        <f>I134/H134</f>
        <v/>
      </c>
      <c r="O134" s="2">
        <f>IF(J134="Cancelled","N/A",IF(L134&lt;=K134,"On Time","Late"))</f>
        <v/>
      </c>
    </row>
    <row r="135">
      <c r="A135" s="6" t="inlineStr">
        <is>
          <t>SHP-1134</t>
        </is>
      </c>
      <c r="B135" s="6" t="inlineStr">
        <is>
          <t>2026-02-05</t>
        </is>
      </c>
      <c r="C135" s="6" t="inlineStr">
        <is>
          <t>2026-02-06</t>
        </is>
      </c>
      <c r="D135" s="7" t="inlineStr">
        <is>
          <t>Hub-East</t>
        </is>
      </c>
      <c r="E135" s="7" t="inlineStr">
        <is>
          <t>Ahmedabad</t>
        </is>
      </c>
      <c r="F135" s="7" t="inlineStr">
        <is>
          <t>ApexCargo</t>
        </is>
      </c>
      <c r="G135" s="7" t="inlineStr">
        <is>
          <t>Ground</t>
        </is>
      </c>
      <c r="H135" s="8" t="n">
        <v>373</v>
      </c>
      <c r="I135" s="9" t="n">
        <v>9464.809999999999</v>
      </c>
      <c r="J135" s="6" t="inlineStr">
        <is>
          <t>Delayed</t>
        </is>
      </c>
      <c r="K135" s="8" t="n">
        <v>3</v>
      </c>
      <c r="L135" s="8" t="n">
        <v>8</v>
      </c>
      <c r="M135" s="8">
        <f>C135-B135</f>
        <v/>
      </c>
      <c r="N135" s="9">
        <f>I135/H135</f>
        <v/>
      </c>
      <c r="O135" s="6">
        <f>IF(J135="Cancelled","N/A",IF(L135&lt;=K135,"On Time","Late"))</f>
        <v/>
      </c>
    </row>
    <row r="136">
      <c r="A136" s="2" t="inlineStr">
        <is>
          <t>SHP-1135</t>
        </is>
      </c>
      <c r="B136" s="2" t="inlineStr">
        <is>
          <t>2026-02-06</t>
        </is>
      </c>
      <c r="C136" s="2" t="inlineStr">
        <is>
          <t>2026-02-07</t>
        </is>
      </c>
      <c r="D136" s="3" t="inlineStr">
        <is>
          <t>Hub-South</t>
        </is>
      </c>
      <c r="E136" s="3" t="inlineStr">
        <is>
          <t>Kolkata</t>
        </is>
      </c>
      <c r="F136" s="3" t="inlineStr">
        <is>
          <t>SwiftLog</t>
        </is>
      </c>
      <c r="G136" s="3" t="inlineStr">
        <is>
          <t>Air</t>
        </is>
      </c>
      <c r="H136" s="4" t="n">
        <v>15</v>
      </c>
      <c r="I136" s="5" t="n">
        <v>1782.25</v>
      </c>
      <c r="J136" s="2" t="inlineStr">
        <is>
          <t>Cancelled</t>
        </is>
      </c>
      <c r="K136" s="4" t="n">
        <v>1</v>
      </c>
      <c r="L136" s="4" t="n">
        <v>0</v>
      </c>
      <c r="M136" s="4">
        <f>C136-B136</f>
        <v/>
      </c>
      <c r="N136" s="5">
        <f>I136/H136</f>
        <v/>
      </c>
      <c r="O136" s="2">
        <f>IF(J136="Cancelled","N/A",IF(L136&lt;=K136,"On Time","Late"))</f>
        <v/>
      </c>
    </row>
    <row r="137">
      <c r="A137" s="6" t="inlineStr">
        <is>
          <t>SHP-1136</t>
        </is>
      </c>
      <c r="B137" s="6" t="inlineStr">
        <is>
          <t>2026-02-14</t>
        </is>
      </c>
      <c r="C137" s="6" t="inlineStr">
        <is>
          <t>2026-02-15</t>
        </is>
      </c>
      <c r="D137" s="7" t="inlineStr">
        <is>
          <t>Hub-East</t>
        </is>
      </c>
      <c r="E137" s="7" t="inlineStr">
        <is>
          <t>Ahmedabad</t>
        </is>
      </c>
      <c r="F137" s="7" t="inlineStr">
        <is>
          <t>SwiftLog</t>
        </is>
      </c>
      <c r="G137" s="7" t="inlineStr">
        <is>
          <t>Ground</t>
        </is>
      </c>
      <c r="H137" s="8" t="n">
        <v>373</v>
      </c>
      <c r="I137" s="9" t="n">
        <v>13717.98</v>
      </c>
      <c r="J137" s="6" t="inlineStr">
        <is>
          <t>Delivered</t>
        </is>
      </c>
      <c r="K137" s="8" t="n">
        <v>5</v>
      </c>
      <c r="L137" s="8" t="n">
        <v>5</v>
      </c>
      <c r="M137" s="8">
        <f>C137-B137</f>
        <v/>
      </c>
      <c r="N137" s="9">
        <f>I137/H137</f>
        <v/>
      </c>
      <c r="O137" s="6">
        <f>IF(J137="Cancelled","N/A",IF(L137&lt;=K137,"On Time","Late"))</f>
        <v/>
      </c>
    </row>
    <row r="138">
      <c r="A138" s="2" t="inlineStr">
        <is>
          <t>SHP-1137</t>
        </is>
      </c>
      <c r="B138" s="2" t="inlineStr">
        <is>
          <t>2026-01-20</t>
        </is>
      </c>
      <c r="C138" s="2" t="inlineStr">
        <is>
          <t>2026-01-21</t>
        </is>
      </c>
      <c r="D138" s="3" t="inlineStr">
        <is>
          <t>Hub-West</t>
        </is>
      </c>
      <c r="E138" s="3" t="inlineStr">
        <is>
          <t>Hyderabad</t>
        </is>
      </c>
      <c r="F138" s="3" t="inlineStr">
        <is>
          <t>SwiftLog</t>
        </is>
      </c>
      <c r="G138" s="3" t="inlineStr">
        <is>
          <t>Ground</t>
        </is>
      </c>
      <c r="H138" s="4" t="n">
        <v>411</v>
      </c>
      <c r="I138" s="5" t="n">
        <v>15480.11</v>
      </c>
      <c r="J138" s="2" t="inlineStr">
        <is>
          <t>Delivered</t>
        </is>
      </c>
      <c r="K138" s="4" t="n">
        <v>5</v>
      </c>
      <c r="L138" s="4" t="n">
        <v>5</v>
      </c>
      <c r="M138" s="4">
        <f>C138-B138</f>
        <v/>
      </c>
      <c r="N138" s="5">
        <f>I138/H138</f>
        <v/>
      </c>
      <c r="O138" s="2">
        <f>IF(J138="Cancelled","N/A",IF(L138&lt;=K138,"On Time","Late"))</f>
        <v/>
      </c>
    </row>
    <row r="139">
      <c r="A139" s="6" t="inlineStr">
        <is>
          <t>SHP-1138</t>
        </is>
      </c>
      <c r="B139" s="6" t="inlineStr">
        <is>
          <t>2026-01-23</t>
        </is>
      </c>
      <c r="C139" s="6" t="inlineStr">
        <is>
          <t>2026-01-23</t>
        </is>
      </c>
      <c r="D139" s="7" t="inlineStr">
        <is>
          <t>Hub-West</t>
        </is>
      </c>
      <c r="E139" s="7" t="inlineStr">
        <is>
          <t>Delhi</t>
        </is>
      </c>
      <c r="F139" s="7" t="inlineStr">
        <is>
          <t>SwiftLog</t>
        </is>
      </c>
      <c r="G139" s="7" t="inlineStr">
        <is>
          <t>Air</t>
        </is>
      </c>
      <c r="H139" s="8" t="n">
        <v>60</v>
      </c>
      <c r="I139" s="9" t="n">
        <v>5464.35</v>
      </c>
      <c r="J139" s="6" t="inlineStr">
        <is>
          <t>Delivered</t>
        </is>
      </c>
      <c r="K139" s="8" t="n">
        <v>1</v>
      </c>
      <c r="L139" s="8" t="n">
        <v>1</v>
      </c>
      <c r="M139" s="8">
        <f>C139-B139</f>
        <v/>
      </c>
      <c r="N139" s="9">
        <f>I139/H139</f>
        <v/>
      </c>
      <c r="O139" s="6">
        <f>IF(J139="Cancelled","N/A",IF(L139&lt;=K139,"On Time","Late"))</f>
        <v/>
      </c>
    </row>
    <row r="140">
      <c r="A140" s="2" t="inlineStr">
        <is>
          <t>SHP-1139</t>
        </is>
      </c>
      <c r="B140" s="2" t="inlineStr">
        <is>
          <t>2026-02-10</t>
        </is>
      </c>
      <c r="C140" s="2" t="inlineStr">
        <is>
          <t>2026-02-11</t>
        </is>
      </c>
      <c r="D140" s="3" t="inlineStr">
        <is>
          <t>Hub-South</t>
        </is>
      </c>
      <c r="E140" s="3" t="inlineStr">
        <is>
          <t>Pune</t>
        </is>
      </c>
      <c r="F140" s="3" t="inlineStr">
        <is>
          <t>ApexCargo</t>
        </is>
      </c>
      <c r="G140" s="3" t="inlineStr">
        <is>
          <t>Rail</t>
        </is>
      </c>
      <c r="H140" s="4" t="n">
        <v>1816</v>
      </c>
      <c r="I140" s="5" t="n">
        <v>33329.02</v>
      </c>
      <c r="J140" s="2" t="inlineStr">
        <is>
          <t>Delayed</t>
        </is>
      </c>
      <c r="K140" s="4" t="n">
        <v>7</v>
      </c>
      <c r="L140" s="4" t="n">
        <v>10</v>
      </c>
      <c r="M140" s="4">
        <f>C140-B140</f>
        <v/>
      </c>
      <c r="N140" s="5">
        <f>I140/H140</f>
        <v/>
      </c>
      <c r="O140" s="2">
        <f>IF(J140="Cancelled","N/A",IF(L140&lt;=K140,"On Time","Late"))</f>
        <v/>
      </c>
    </row>
    <row r="141">
      <c r="A141" s="6" t="inlineStr">
        <is>
          <t>SHP-1140</t>
        </is>
      </c>
      <c r="B141" s="6" t="inlineStr">
        <is>
          <t>2026-01-29</t>
        </is>
      </c>
      <c r="C141" s="6" t="inlineStr">
        <is>
          <t>2026-01-29</t>
        </is>
      </c>
      <c r="D141" s="7" t="inlineStr">
        <is>
          <t>Hub-South</t>
        </is>
      </c>
      <c r="E141" s="7" t="inlineStr">
        <is>
          <t>Pune</t>
        </is>
      </c>
      <c r="F141" s="7" t="inlineStr">
        <is>
          <t>ApexCargo</t>
        </is>
      </c>
      <c r="G141" s="7" t="inlineStr">
        <is>
          <t>Air</t>
        </is>
      </c>
      <c r="H141" s="8" t="n">
        <v>80</v>
      </c>
      <c r="I141" s="9" t="n">
        <v>8455.98</v>
      </c>
      <c r="J141" s="6" t="inlineStr">
        <is>
          <t>Delivered</t>
        </is>
      </c>
      <c r="K141" s="8" t="n">
        <v>2</v>
      </c>
      <c r="L141" s="8" t="n">
        <v>2</v>
      </c>
      <c r="M141" s="8">
        <f>C141-B141</f>
        <v/>
      </c>
      <c r="N141" s="9">
        <f>I141/H141</f>
        <v/>
      </c>
      <c r="O141" s="6">
        <f>IF(J141="Cancelled","N/A",IF(L141&lt;=K141,"On Time","Late"))</f>
        <v/>
      </c>
    </row>
    <row r="142">
      <c r="A142" s="2" t="inlineStr">
        <is>
          <t>SHP-1141</t>
        </is>
      </c>
      <c r="B142" s="2" t="inlineStr">
        <is>
          <t>2026-01-30</t>
        </is>
      </c>
      <c r="C142" s="2" t="inlineStr">
        <is>
          <t>2026-01-31</t>
        </is>
      </c>
      <c r="D142" s="3" t="inlineStr">
        <is>
          <t>Hub-East</t>
        </is>
      </c>
      <c r="E142" s="3" t="inlineStr">
        <is>
          <t>Mumbai</t>
        </is>
      </c>
      <c r="F142" s="3" t="inlineStr">
        <is>
          <t>MetroEx</t>
        </is>
      </c>
      <c r="G142" s="3" t="inlineStr">
        <is>
          <t>Air</t>
        </is>
      </c>
      <c r="H142" s="4" t="n">
        <v>29</v>
      </c>
      <c r="I142" s="5" t="n">
        <v>3119.34</v>
      </c>
      <c r="J142" s="2" t="inlineStr">
        <is>
          <t>In Transit</t>
        </is>
      </c>
      <c r="K142" s="4" t="n">
        <v>1</v>
      </c>
      <c r="L142" s="4" t="n">
        <v>1</v>
      </c>
      <c r="M142" s="4">
        <f>C142-B142</f>
        <v/>
      </c>
      <c r="N142" s="5">
        <f>I142/H142</f>
        <v/>
      </c>
      <c r="O142" s="2">
        <f>IF(J142="Cancelled","N/A",IF(L142&lt;=K142,"On Time","Late"))</f>
        <v/>
      </c>
    </row>
    <row r="143">
      <c r="A143" s="6" t="inlineStr">
        <is>
          <t>SHP-1142</t>
        </is>
      </c>
      <c r="B143" s="6" t="inlineStr">
        <is>
          <t>2026-01-30</t>
        </is>
      </c>
      <c r="C143" s="6" t="inlineStr">
        <is>
          <t>2026-02-01</t>
        </is>
      </c>
      <c r="D143" s="7" t="inlineStr">
        <is>
          <t>Hub-East</t>
        </is>
      </c>
      <c r="E143" s="7" t="inlineStr">
        <is>
          <t>Pune</t>
        </is>
      </c>
      <c r="F143" s="7" t="inlineStr">
        <is>
          <t>ApexCargo</t>
        </is>
      </c>
      <c r="G143" s="7" t="inlineStr">
        <is>
          <t>Rail</t>
        </is>
      </c>
      <c r="H143" s="8" t="n">
        <v>885</v>
      </c>
      <c r="I143" s="9" t="n">
        <v>13465.51</v>
      </c>
      <c r="J143" s="6" t="inlineStr">
        <is>
          <t>Delivered</t>
        </is>
      </c>
      <c r="K143" s="8" t="n">
        <v>8</v>
      </c>
      <c r="L143" s="8" t="n">
        <v>7</v>
      </c>
      <c r="M143" s="8">
        <f>C143-B143</f>
        <v/>
      </c>
      <c r="N143" s="9">
        <f>I143/H143</f>
        <v/>
      </c>
      <c r="O143" s="6">
        <f>IF(J143="Cancelled","N/A",IF(L143&lt;=K143,"On Time","Late"))</f>
        <v/>
      </c>
    </row>
    <row r="144">
      <c r="A144" s="2" t="inlineStr">
        <is>
          <t>SHP-1143</t>
        </is>
      </c>
      <c r="B144" s="2" t="inlineStr">
        <is>
          <t>2026-01-29</t>
        </is>
      </c>
      <c r="C144" s="2" t="inlineStr">
        <is>
          <t>2026-01-29</t>
        </is>
      </c>
      <c r="D144" s="3" t="inlineStr">
        <is>
          <t>Hub-North</t>
        </is>
      </c>
      <c r="E144" s="3" t="inlineStr">
        <is>
          <t>Delhi</t>
        </is>
      </c>
      <c r="F144" s="3" t="inlineStr">
        <is>
          <t>ApexCargo</t>
        </is>
      </c>
      <c r="G144" s="3" t="inlineStr">
        <is>
          <t>Rail</t>
        </is>
      </c>
      <c r="H144" s="4" t="n">
        <v>853</v>
      </c>
      <c r="I144" s="5" t="n">
        <v>10569.88</v>
      </c>
      <c r="J144" s="2" t="inlineStr">
        <is>
          <t>Cancelled</t>
        </is>
      </c>
      <c r="K144" s="4" t="n">
        <v>8</v>
      </c>
      <c r="L144" s="4" t="n">
        <v>0</v>
      </c>
      <c r="M144" s="4">
        <f>C144-B144</f>
        <v/>
      </c>
      <c r="N144" s="5">
        <f>I144/H144</f>
        <v/>
      </c>
      <c r="O144" s="2">
        <f>IF(J144="Cancelled","N/A",IF(L144&lt;=K144,"On Time","Late"))</f>
        <v/>
      </c>
    </row>
    <row r="145">
      <c r="A145" s="6" t="inlineStr">
        <is>
          <t>SHP-1144</t>
        </is>
      </c>
      <c r="B145" s="6" t="inlineStr">
        <is>
          <t>2026-02-03</t>
        </is>
      </c>
      <c r="C145" s="6" t="inlineStr">
        <is>
          <t>2026-02-05</t>
        </is>
      </c>
      <c r="D145" s="7" t="inlineStr">
        <is>
          <t>Hub-West</t>
        </is>
      </c>
      <c r="E145" s="7" t="inlineStr">
        <is>
          <t>Hyderabad</t>
        </is>
      </c>
      <c r="F145" s="7" t="inlineStr">
        <is>
          <t>MetroEx</t>
        </is>
      </c>
      <c r="G145" s="7" t="inlineStr">
        <is>
          <t>Air</t>
        </is>
      </c>
      <c r="H145" s="8" t="n">
        <v>109</v>
      </c>
      <c r="I145" s="9" t="n">
        <v>10824.46</v>
      </c>
      <c r="J145" s="6" t="inlineStr">
        <is>
          <t>Delivered</t>
        </is>
      </c>
      <c r="K145" s="8" t="n">
        <v>2</v>
      </c>
      <c r="L145" s="8" t="n">
        <v>4</v>
      </c>
      <c r="M145" s="8">
        <f>C145-B145</f>
        <v/>
      </c>
      <c r="N145" s="9">
        <f>I145/H145</f>
        <v/>
      </c>
      <c r="O145" s="6">
        <f>IF(J145="Cancelled","N/A",IF(L145&lt;=K145,"On Time","Late"))</f>
        <v/>
      </c>
    </row>
    <row r="146">
      <c r="A146" s="2" t="inlineStr">
        <is>
          <t>SHP-1145</t>
        </is>
      </c>
      <c r="B146" s="2" t="inlineStr">
        <is>
          <t>2026-02-11</t>
        </is>
      </c>
      <c r="C146" s="2" t="inlineStr">
        <is>
          <t>2026-02-12</t>
        </is>
      </c>
      <c r="D146" s="3" t="inlineStr">
        <is>
          <t>Hub-East</t>
        </is>
      </c>
      <c r="E146" s="3" t="inlineStr">
        <is>
          <t>Hyderabad</t>
        </is>
      </c>
      <c r="F146" s="3" t="inlineStr">
        <is>
          <t>SwiftLog</t>
        </is>
      </c>
      <c r="G146" s="3" t="inlineStr">
        <is>
          <t>Rail</t>
        </is>
      </c>
      <c r="H146" s="4" t="n">
        <v>1889</v>
      </c>
      <c r="I146" s="5" t="n">
        <v>29970.2</v>
      </c>
      <c r="J146" s="2" t="inlineStr">
        <is>
          <t>Delivered</t>
        </is>
      </c>
      <c r="K146" s="4" t="n">
        <v>7</v>
      </c>
      <c r="L146" s="4" t="n">
        <v>7</v>
      </c>
      <c r="M146" s="4">
        <f>C146-B146</f>
        <v/>
      </c>
      <c r="N146" s="5">
        <f>I146/H146</f>
        <v/>
      </c>
      <c r="O146" s="2">
        <f>IF(J146="Cancelled","N/A",IF(L146&lt;=K146,"On Time","Late"))</f>
        <v/>
      </c>
    </row>
    <row r="147">
      <c r="A147" s="6" t="inlineStr">
        <is>
          <t>SHP-1146</t>
        </is>
      </c>
      <c r="B147" s="6" t="inlineStr">
        <is>
          <t>2026-01-06</t>
        </is>
      </c>
      <c r="C147" s="6" t="inlineStr">
        <is>
          <t>2026-01-08</t>
        </is>
      </c>
      <c r="D147" s="7" t="inlineStr">
        <is>
          <t>Hub-West</t>
        </is>
      </c>
      <c r="E147" s="7" t="inlineStr">
        <is>
          <t>Hyderabad</t>
        </is>
      </c>
      <c r="F147" s="7" t="inlineStr">
        <is>
          <t>MetroEx</t>
        </is>
      </c>
      <c r="G147" s="7" t="inlineStr">
        <is>
          <t>Rail</t>
        </is>
      </c>
      <c r="H147" s="8" t="n">
        <v>1930</v>
      </c>
      <c r="I147" s="9" t="n">
        <v>35939.21</v>
      </c>
      <c r="J147" s="6" t="inlineStr">
        <is>
          <t>Delivered</t>
        </is>
      </c>
      <c r="K147" s="8" t="n">
        <v>6</v>
      </c>
      <c r="L147" s="8" t="n">
        <v>6</v>
      </c>
      <c r="M147" s="8">
        <f>C147-B147</f>
        <v/>
      </c>
      <c r="N147" s="9">
        <f>I147/H147</f>
        <v/>
      </c>
      <c r="O147" s="6">
        <f>IF(J147="Cancelled","N/A",IF(L147&lt;=K147,"On Time","Late"))</f>
        <v/>
      </c>
    </row>
    <row r="148">
      <c r="A148" s="2" t="inlineStr">
        <is>
          <t>SHP-1147</t>
        </is>
      </c>
      <c r="B148" s="2" t="inlineStr">
        <is>
          <t>2026-02-05</t>
        </is>
      </c>
      <c r="C148" s="2" t="inlineStr">
        <is>
          <t>2026-02-06</t>
        </is>
      </c>
      <c r="D148" s="3" t="inlineStr">
        <is>
          <t>Hub-North</t>
        </is>
      </c>
      <c r="E148" s="3" t="inlineStr">
        <is>
          <t>Bangalore</t>
        </is>
      </c>
      <c r="F148" s="3" t="inlineStr">
        <is>
          <t>ApexCargo</t>
        </is>
      </c>
      <c r="G148" s="3" t="inlineStr">
        <is>
          <t>Rail</t>
        </is>
      </c>
      <c r="H148" s="4" t="n">
        <v>1903</v>
      </c>
      <c r="I148" s="5" t="n">
        <v>40199.89</v>
      </c>
      <c r="J148" s="2" t="inlineStr">
        <is>
          <t>In Transit</t>
        </is>
      </c>
      <c r="K148" s="4" t="n">
        <v>5</v>
      </c>
      <c r="L148" s="4" t="n">
        <v>5</v>
      </c>
      <c r="M148" s="4">
        <f>C148-B148</f>
        <v/>
      </c>
      <c r="N148" s="5">
        <f>I148/H148</f>
        <v/>
      </c>
      <c r="O148" s="2">
        <f>IF(J148="Cancelled","N/A",IF(L148&lt;=K148,"On Time","Late"))</f>
        <v/>
      </c>
    </row>
    <row r="149">
      <c r="A149" s="6" t="inlineStr">
        <is>
          <t>SHP-1148</t>
        </is>
      </c>
      <c r="B149" s="6" t="inlineStr">
        <is>
          <t>2026-02-02</t>
        </is>
      </c>
      <c r="C149" s="6" t="inlineStr">
        <is>
          <t>2026-02-03</t>
        </is>
      </c>
      <c r="D149" s="7" t="inlineStr">
        <is>
          <t>Hub-East</t>
        </is>
      </c>
      <c r="E149" s="7" t="inlineStr">
        <is>
          <t>Hyderabad</t>
        </is>
      </c>
      <c r="F149" s="7" t="inlineStr">
        <is>
          <t>MetroEx</t>
        </is>
      </c>
      <c r="G149" s="7" t="inlineStr">
        <is>
          <t>Ground</t>
        </is>
      </c>
      <c r="H149" s="8" t="n">
        <v>259</v>
      </c>
      <c r="I149" s="9" t="n">
        <v>8245.17</v>
      </c>
      <c r="J149" s="6" t="inlineStr">
        <is>
          <t>Delivered</t>
        </is>
      </c>
      <c r="K149" s="8" t="n">
        <v>4</v>
      </c>
      <c r="L149" s="8" t="n">
        <v>4</v>
      </c>
      <c r="M149" s="8">
        <f>C149-B149</f>
        <v/>
      </c>
      <c r="N149" s="9">
        <f>I149/H149</f>
        <v/>
      </c>
      <c r="O149" s="6">
        <f>IF(J149="Cancelled","N/A",IF(L149&lt;=K149,"On Time","Late"))</f>
        <v/>
      </c>
    </row>
    <row r="150">
      <c r="A150" s="2" t="inlineStr">
        <is>
          <t>SHP-1149</t>
        </is>
      </c>
      <c r="B150" s="2" t="inlineStr">
        <is>
          <t>2026-01-09</t>
        </is>
      </c>
      <c r="C150" s="2" t="inlineStr">
        <is>
          <t>2026-01-09</t>
        </is>
      </c>
      <c r="D150" s="3" t="inlineStr">
        <is>
          <t>Hub-East</t>
        </is>
      </c>
      <c r="E150" s="3" t="inlineStr">
        <is>
          <t>Kolkata</t>
        </is>
      </c>
      <c r="F150" s="3" t="inlineStr">
        <is>
          <t>SwiftLog</t>
        </is>
      </c>
      <c r="G150" s="3" t="inlineStr">
        <is>
          <t>Rail</t>
        </is>
      </c>
      <c r="H150" s="4" t="n">
        <v>1605</v>
      </c>
      <c r="I150" s="5" t="n">
        <v>32663.67</v>
      </c>
      <c r="J150" s="2" t="inlineStr">
        <is>
          <t>Delayed</t>
        </is>
      </c>
      <c r="K150" s="4" t="n">
        <v>5</v>
      </c>
      <c r="L150" s="4" t="n">
        <v>8</v>
      </c>
      <c r="M150" s="4">
        <f>C150-B150</f>
        <v/>
      </c>
      <c r="N150" s="5">
        <f>I150/H150</f>
        <v/>
      </c>
      <c r="O150" s="2">
        <f>IF(J150="Cancelled","N/A",IF(L150&lt;=K150,"On Time","Late"))</f>
        <v/>
      </c>
    </row>
    <row r="151">
      <c r="A151" s="6" t="inlineStr">
        <is>
          <t>SHP-1150</t>
        </is>
      </c>
      <c r="B151" s="6" t="inlineStr">
        <is>
          <t>2026-02-08</t>
        </is>
      </c>
      <c r="C151" s="6" t="inlineStr">
        <is>
          <t>2026-02-09</t>
        </is>
      </c>
      <c r="D151" s="7" t="inlineStr">
        <is>
          <t>Hub-West</t>
        </is>
      </c>
      <c r="E151" s="7" t="inlineStr">
        <is>
          <t>Bangalore</t>
        </is>
      </c>
      <c r="F151" s="7" t="inlineStr">
        <is>
          <t>SwiftLog</t>
        </is>
      </c>
      <c r="G151" s="7" t="inlineStr">
        <is>
          <t>Rail</t>
        </is>
      </c>
      <c r="H151" s="8" t="n">
        <v>1779</v>
      </c>
      <c r="I151" s="9" t="n">
        <v>35740.89</v>
      </c>
      <c r="J151" s="6" t="inlineStr">
        <is>
          <t>Cancelled</t>
        </is>
      </c>
      <c r="K151" s="8" t="n">
        <v>6</v>
      </c>
      <c r="L151" s="8" t="n">
        <v>0</v>
      </c>
      <c r="M151" s="8">
        <f>C151-B151</f>
        <v/>
      </c>
      <c r="N151" s="9">
        <f>I151/H151</f>
        <v/>
      </c>
      <c r="O151" s="6">
        <f>IF(J151="Cancelled","N/A",IF(L151&lt;=K151,"On Time","Late"))</f>
        <v/>
      </c>
    </row>
    <row r="152">
      <c r="A152" s="2" t="inlineStr">
        <is>
          <t>SHP-1151</t>
        </is>
      </c>
      <c r="B152" s="2" t="inlineStr">
        <is>
          <t>2026-01-03</t>
        </is>
      </c>
      <c r="C152" s="2" t="inlineStr">
        <is>
          <t>2026-01-04</t>
        </is>
      </c>
      <c r="D152" s="3" t="inlineStr">
        <is>
          <t>Hub-North</t>
        </is>
      </c>
      <c r="E152" s="3" t="inlineStr">
        <is>
          <t>Chennai</t>
        </is>
      </c>
      <c r="F152" s="3" t="inlineStr">
        <is>
          <t>MetroEx</t>
        </is>
      </c>
      <c r="G152" s="3" t="inlineStr">
        <is>
          <t>Rail</t>
        </is>
      </c>
      <c r="H152" s="4" t="n">
        <v>1083</v>
      </c>
      <c r="I152" s="5" t="n">
        <v>21144.4</v>
      </c>
      <c r="J152" s="2" t="inlineStr">
        <is>
          <t>Delivered</t>
        </is>
      </c>
      <c r="K152" s="4" t="n">
        <v>8</v>
      </c>
      <c r="L152" s="4" t="n">
        <v>9</v>
      </c>
      <c r="M152" s="4">
        <f>C152-B152</f>
        <v/>
      </c>
      <c r="N152" s="5">
        <f>I152/H152</f>
        <v/>
      </c>
      <c r="O152" s="2">
        <f>IF(J152="Cancelled","N/A",IF(L152&lt;=K152,"On Time","Late"))</f>
        <v/>
      </c>
    </row>
    <row r="153">
      <c r="A153" s="6" t="inlineStr">
        <is>
          <t>SHP-1152</t>
        </is>
      </c>
      <c r="B153" s="6" t="inlineStr">
        <is>
          <t>2026-01-16</t>
        </is>
      </c>
      <c r="C153" s="6" t="inlineStr">
        <is>
          <t>2026-01-17</t>
        </is>
      </c>
      <c r="D153" s="7" t="inlineStr">
        <is>
          <t>Hub-South</t>
        </is>
      </c>
      <c r="E153" s="7" t="inlineStr">
        <is>
          <t>Chennai</t>
        </is>
      </c>
      <c r="F153" s="7" t="inlineStr">
        <is>
          <t>MetroEx</t>
        </is>
      </c>
      <c r="G153" s="7" t="inlineStr">
        <is>
          <t>Rail</t>
        </is>
      </c>
      <c r="H153" s="8" t="n">
        <v>1668</v>
      </c>
      <c r="I153" s="9" t="n">
        <v>36436.46</v>
      </c>
      <c r="J153" s="6" t="inlineStr">
        <is>
          <t>Delivered</t>
        </is>
      </c>
      <c r="K153" s="8" t="n">
        <v>8</v>
      </c>
      <c r="L153" s="8" t="n">
        <v>8</v>
      </c>
      <c r="M153" s="8">
        <f>C153-B153</f>
        <v/>
      </c>
      <c r="N153" s="9">
        <f>I153/H153</f>
        <v/>
      </c>
      <c r="O153" s="6">
        <f>IF(J153="Cancelled","N/A",IF(L153&lt;=K153,"On Time","Late"))</f>
        <v/>
      </c>
    </row>
    <row r="154">
      <c r="A154" s="2" t="inlineStr">
        <is>
          <t>SHP-1153</t>
        </is>
      </c>
      <c r="B154" s="2" t="inlineStr">
        <is>
          <t>2026-02-02</t>
        </is>
      </c>
      <c r="C154" s="2" t="inlineStr">
        <is>
          <t>2026-02-04</t>
        </is>
      </c>
      <c r="D154" s="3" t="inlineStr">
        <is>
          <t>Hub-South</t>
        </is>
      </c>
      <c r="E154" s="3" t="inlineStr">
        <is>
          <t>Bangalore</t>
        </is>
      </c>
      <c r="F154" s="3" t="inlineStr">
        <is>
          <t>SwiftLog</t>
        </is>
      </c>
      <c r="G154" s="3" t="inlineStr">
        <is>
          <t>Rail</t>
        </is>
      </c>
      <c r="H154" s="4" t="n">
        <v>783</v>
      </c>
      <c r="I154" s="5" t="n">
        <v>16231.61</v>
      </c>
      <c r="J154" s="2" t="inlineStr">
        <is>
          <t>Cancelled</t>
        </is>
      </c>
      <c r="K154" s="4" t="n">
        <v>5</v>
      </c>
      <c r="L154" s="4" t="n">
        <v>0</v>
      </c>
      <c r="M154" s="4">
        <f>C154-B154</f>
        <v/>
      </c>
      <c r="N154" s="5">
        <f>I154/H154</f>
        <v/>
      </c>
      <c r="O154" s="2">
        <f>IF(J154="Cancelled","N/A",IF(L154&lt;=K154,"On Time","Late"))</f>
        <v/>
      </c>
    </row>
    <row r="155">
      <c r="A155" s="6" t="inlineStr">
        <is>
          <t>SHP-1154</t>
        </is>
      </c>
      <c r="B155" s="6" t="inlineStr">
        <is>
          <t>2026-01-24</t>
        </is>
      </c>
      <c r="C155" s="6" t="inlineStr">
        <is>
          <t>2026-01-26</t>
        </is>
      </c>
      <c r="D155" s="7" t="inlineStr">
        <is>
          <t>Hub-East</t>
        </is>
      </c>
      <c r="E155" s="7" t="inlineStr">
        <is>
          <t>Delhi</t>
        </is>
      </c>
      <c r="F155" s="7" t="inlineStr">
        <is>
          <t>MetroEx</t>
        </is>
      </c>
      <c r="G155" s="7" t="inlineStr">
        <is>
          <t>Ground</t>
        </is>
      </c>
      <c r="H155" s="8" t="n">
        <v>540</v>
      </c>
      <c r="I155" s="9" t="n">
        <v>15231.37</v>
      </c>
      <c r="J155" s="6" t="inlineStr">
        <is>
          <t>Delivered</t>
        </is>
      </c>
      <c r="K155" s="8" t="n">
        <v>4</v>
      </c>
      <c r="L155" s="8" t="n">
        <v>4</v>
      </c>
      <c r="M155" s="8">
        <f>C155-B155</f>
        <v/>
      </c>
      <c r="N155" s="9">
        <f>I155/H155</f>
        <v/>
      </c>
      <c r="O155" s="6">
        <f>IF(J155="Cancelled","N/A",IF(L155&lt;=K155,"On Time","Late"))</f>
        <v/>
      </c>
    </row>
    <row r="156">
      <c r="A156" s="2" t="inlineStr">
        <is>
          <t>SHP-1155</t>
        </is>
      </c>
      <c r="B156" s="2" t="inlineStr">
        <is>
          <t>2026-01-06</t>
        </is>
      </c>
      <c r="C156" s="2" t="inlineStr">
        <is>
          <t>2026-01-06</t>
        </is>
      </c>
      <c r="D156" s="3" t="inlineStr">
        <is>
          <t>Hub-South</t>
        </is>
      </c>
      <c r="E156" s="3" t="inlineStr">
        <is>
          <t>Hyderabad</t>
        </is>
      </c>
      <c r="F156" s="3" t="inlineStr">
        <is>
          <t>SwiftLog</t>
        </is>
      </c>
      <c r="G156" s="3" t="inlineStr">
        <is>
          <t>Air</t>
        </is>
      </c>
      <c r="H156" s="4" t="n">
        <v>23</v>
      </c>
      <c r="I156" s="5" t="n">
        <v>2274.15</v>
      </c>
      <c r="J156" s="2" t="inlineStr">
        <is>
          <t>Delivered</t>
        </is>
      </c>
      <c r="K156" s="4" t="n">
        <v>2</v>
      </c>
      <c r="L156" s="4" t="n">
        <v>2</v>
      </c>
      <c r="M156" s="4">
        <f>C156-B156</f>
        <v/>
      </c>
      <c r="N156" s="5">
        <f>I156/H156</f>
        <v/>
      </c>
      <c r="O156" s="2">
        <f>IF(J156="Cancelled","N/A",IF(L156&lt;=K156,"On Time","Late"))</f>
        <v/>
      </c>
    </row>
    <row r="157">
      <c r="A157" s="6" t="inlineStr">
        <is>
          <t>SHP-1156</t>
        </is>
      </c>
      <c r="B157" s="6" t="inlineStr">
        <is>
          <t>2026-01-06</t>
        </is>
      </c>
      <c r="C157" s="6" t="inlineStr">
        <is>
          <t>2026-01-07</t>
        </is>
      </c>
      <c r="D157" s="7" t="inlineStr">
        <is>
          <t>Hub-West</t>
        </is>
      </c>
      <c r="E157" s="7" t="inlineStr">
        <is>
          <t>Mumbai</t>
        </is>
      </c>
      <c r="F157" s="7" t="inlineStr">
        <is>
          <t>MetroEx</t>
        </is>
      </c>
      <c r="G157" s="7" t="inlineStr">
        <is>
          <t>Ground</t>
        </is>
      </c>
      <c r="H157" s="8" t="n">
        <v>579</v>
      </c>
      <c r="I157" s="9" t="n">
        <v>22751.28</v>
      </c>
      <c r="J157" s="6" t="inlineStr">
        <is>
          <t>Delivered</t>
        </is>
      </c>
      <c r="K157" s="8" t="n">
        <v>4</v>
      </c>
      <c r="L157" s="8" t="n">
        <v>4</v>
      </c>
      <c r="M157" s="8">
        <f>C157-B157</f>
        <v/>
      </c>
      <c r="N157" s="9">
        <f>I157/H157</f>
        <v/>
      </c>
      <c r="O157" s="6">
        <f>IF(J157="Cancelled","N/A",IF(L157&lt;=K157,"On Time","Late"))</f>
        <v/>
      </c>
    </row>
    <row r="158">
      <c r="A158" s="2" t="inlineStr">
        <is>
          <t>SHP-1157</t>
        </is>
      </c>
      <c r="B158" s="2" t="inlineStr">
        <is>
          <t>2026-01-03</t>
        </is>
      </c>
      <c r="C158" s="2" t="inlineStr">
        <is>
          <t>2026-01-04</t>
        </is>
      </c>
      <c r="D158" s="3" t="inlineStr">
        <is>
          <t>Hub-South</t>
        </is>
      </c>
      <c r="E158" s="3" t="inlineStr">
        <is>
          <t>Bangalore</t>
        </is>
      </c>
      <c r="F158" s="3" t="inlineStr">
        <is>
          <t>ApexCargo</t>
        </is>
      </c>
      <c r="G158" s="3" t="inlineStr">
        <is>
          <t>Air</t>
        </is>
      </c>
      <c r="H158" s="4" t="n">
        <v>124</v>
      </c>
      <c r="I158" s="5" t="n">
        <v>13210.61</v>
      </c>
      <c r="J158" s="2" t="inlineStr">
        <is>
          <t>Delivered</t>
        </is>
      </c>
      <c r="K158" s="4" t="n">
        <v>1</v>
      </c>
      <c r="L158" s="4" t="n">
        <v>1</v>
      </c>
      <c r="M158" s="4">
        <f>C158-B158</f>
        <v/>
      </c>
      <c r="N158" s="5">
        <f>I158/H158</f>
        <v/>
      </c>
      <c r="O158" s="2">
        <f>IF(J158="Cancelled","N/A",IF(L158&lt;=K158,"On Time","Late"))</f>
        <v/>
      </c>
    </row>
    <row r="159">
      <c r="A159" s="6" t="inlineStr">
        <is>
          <t>SHP-1158</t>
        </is>
      </c>
      <c r="B159" s="6" t="inlineStr">
        <is>
          <t>2026-01-14</t>
        </is>
      </c>
      <c r="C159" s="6" t="inlineStr">
        <is>
          <t>2026-01-14</t>
        </is>
      </c>
      <c r="D159" s="7" t="inlineStr">
        <is>
          <t>Hub-South</t>
        </is>
      </c>
      <c r="E159" s="7" t="inlineStr">
        <is>
          <t>Delhi</t>
        </is>
      </c>
      <c r="F159" s="7" t="inlineStr">
        <is>
          <t>MetroEx</t>
        </is>
      </c>
      <c r="G159" s="7" t="inlineStr">
        <is>
          <t>Ground</t>
        </is>
      </c>
      <c r="H159" s="8" t="n">
        <v>304</v>
      </c>
      <c r="I159" s="9" t="n">
        <v>8340.84</v>
      </c>
      <c r="J159" s="6" t="inlineStr">
        <is>
          <t>In Transit</t>
        </is>
      </c>
      <c r="K159" s="8" t="n">
        <v>3</v>
      </c>
      <c r="L159" s="8" t="n">
        <v>3</v>
      </c>
      <c r="M159" s="8">
        <f>C159-B159</f>
        <v/>
      </c>
      <c r="N159" s="9">
        <f>I159/H159</f>
        <v/>
      </c>
      <c r="O159" s="6">
        <f>IF(J159="Cancelled","N/A",IF(L159&lt;=K159,"On Time","Late"))</f>
        <v/>
      </c>
    </row>
    <row r="160">
      <c r="A160" s="2" t="inlineStr">
        <is>
          <t>SHP-1159</t>
        </is>
      </c>
      <c r="B160" s="2" t="inlineStr">
        <is>
          <t>2026-02-10</t>
        </is>
      </c>
      <c r="C160" s="2" t="inlineStr">
        <is>
          <t>2026-02-12</t>
        </is>
      </c>
      <c r="D160" s="3" t="inlineStr">
        <is>
          <t>Hub-South</t>
        </is>
      </c>
      <c r="E160" s="3" t="inlineStr">
        <is>
          <t>Delhi</t>
        </is>
      </c>
      <c r="F160" s="3" t="inlineStr">
        <is>
          <t>SwiftLog</t>
        </is>
      </c>
      <c r="G160" s="3" t="inlineStr">
        <is>
          <t>Air</t>
        </is>
      </c>
      <c r="H160" s="4" t="n">
        <v>147</v>
      </c>
      <c r="I160" s="5" t="n">
        <v>12579.56</v>
      </c>
      <c r="J160" s="2" t="inlineStr">
        <is>
          <t>Delivered</t>
        </is>
      </c>
      <c r="K160" s="4" t="n">
        <v>1</v>
      </c>
      <c r="L160" s="4" t="n">
        <v>1</v>
      </c>
      <c r="M160" s="4">
        <f>C160-B160</f>
        <v/>
      </c>
      <c r="N160" s="5">
        <f>I160/H160</f>
        <v/>
      </c>
      <c r="O160" s="2">
        <f>IF(J160="Cancelled","N/A",IF(L160&lt;=K160,"On Time","Late"))</f>
        <v/>
      </c>
    </row>
    <row r="161">
      <c r="A161" s="6" t="inlineStr">
        <is>
          <t>SHP-1160</t>
        </is>
      </c>
      <c r="B161" s="6" t="inlineStr">
        <is>
          <t>2026-01-28</t>
        </is>
      </c>
      <c r="C161" s="6" t="inlineStr">
        <is>
          <t>2026-01-28</t>
        </is>
      </c>
      <c r="D161" s="7" t="inlineStr">
        <is>
          <t>Hub-North</t>
        </is>
      </c>
      <c r="E161" s="7" t="inlineStr">
        <is>
          <t>Chennai</t>
        </is>
      </c>
      <c r="F161" s="7" t="inlineStr">
        <is>
          <t>ApexCargo</t>
        </is>
      </c>
      <c r="G161" s="7" t="inlineStr">
        <is>
          <t>Air</t>
        </is>
      </c>
      <c r="H161" s="8" t="n">
        <v>57</v>
      </c>
      <c r="I161" s="9" t="n">
        <v>6170.42</v>
      </c>
      <c r="J161" s="6" t="inlineStr">
        <is>
          <t>Delayed</t>
        </is>
      </c>
      <c r="K161" s="8" t="n">
        <v>1</v>
      </c>
      <c r="L161" s="8" t="n">
        <v>3</v>
      </c>
      <c r="M161" s="8">
        <f>C161-B161</f>
        <v/>
      </c>
      <c r="N161" s="9">
        <f>I161/H161</f>
        <v/>
      </c>
      <c r="O161" s="6">
        <f>IF(J161="Cancelled","N/A",IF(L161&lt;=K161,"On Time","Late"))</f>
        <v/>
      </c>
    </row>
    <row r="162">
      <c r="A162" s="2" t="inlineStr">
        <is>
          <t>SHP-1161</t>
        </is>
      </c>
      <c r="B162" s="2" t="inlineStr">
        <is>
          <t>2026-02-03</t>
        </is>
      </c>
      <c r="C162" s="2" t="inlineStr">
        <is>
          <t>2026-02-05</t>
        </is>
      </c>
      <c r="D162" s="3" t="inlineStr">
        <is>
          <t>Hub-East</t>
        </is>
      </c>
      <c r="E162" s="3" t="inlineStr">
        <is>
          <t>Ahmedabad</t>
        </is>
      </c>
      <c r="F162" s="3" t="inlineStr">
        <is>
          <t>MetroEx</t>
        </is>
      </c>
      <c r="G162" s="3" t="inlineStr">
        <is>
          <t>Ground</t>
        </is>
      </c>
      <c r="H162" s="4" t="n">
        <v>475</v>
      </c>
      <c r="I162" s="5" t="n">
        <v>15550.37</v>
      </c>
      <c r="J162" s="2" t="inlineStr">
        <is>
          <t>Delivered</t>
        </is>
      </c>
      <c r="K162" s="4" t="n">
        <v>4</v>
      </c>
      <c r="L162" s="4" t="n">
        <v>6</v>
      </c>
      <c r="M162" s="4">
        <f>C162-B162</f>
        <v/>
      </c>
      <c r="N162" s="5">
        <f>I162/H162</f>
        <v/>
      </c>
      <c r="O162" s="2">
        <f>IF(J162="Cancelled","N/A",IF(L162&lt;=K162,"On Time","Late"))</f>
        <v/>
      </c>
    </row>
    <row r="163">
      <c r="A163" s="6" t="inlineStr">
        <is>
          <t>SHP-1162</t>
        </is>
      </c>
      <c r="B163" s="6" t="inlineStr">
        <is>
          <t>2026-01-02</t>
        </is>
      </c>
      <c r="C163" s="6" t="inlineStr">
        <is>
          <t>2026-01-03</t>
        </is>
      </c>
      <c r="D163" s="7" t="inlineStr">
        <is>
          <t>Hub-East</t>
        </is>
      </c>
      <c r="E163" s="7" t="inlineStr">
        <is>
          <t>Hyderabad</t>
        </is>
      </c>
      <c r="F163" s="7" t="inlineStr">
        <is>
          <t>SwiftLog</t>
        </is>
      </c>
      <c r="G163" s="7" t="inlineStr">
        <is>
          <t>Rail</t>
        </is>
      </c>
      <c r="H163" s="8" t="n">
        <v>1845</v>
      </c>
      <c r="I163" s="9" t="n">
        <v>33731.34</v>
      </c>
      <c r="J163" s="6" t="inlineStr">
        <is>
          <t>Delivered</t>
        </is>
      </c>
      <c r="K163" s="8" t="n">
        <v>7</v>
      </c>
      <c r="L163" s="8" t="n">
        <v>6</v>
      </c>
      <c r="M163" s="8">
        <f>C163-B163</f>
        <v/>
      </c>
      <c r="N163" s="9">
        <f>I163/H163</f>
        <v/>
      </c>
      <c r="O163" s="6">
        <f>IF(J163="Cancelled","N/A",IF(L163&lt;=K163,"On Time","Late"))</f>
        <v/>
      </c>
    </row>
    <row r="164">
      <c r="A164" s="2" t="inlineStr">
        <is>
          <t>SHP-1163</t>
        </is>
      </c>
      <c r="B164" s="2" t="inlineStr">
        <is>
          <t>2026-01-23</t>
        </is>
      </c>
      <c r="C164" s="2" t="inlineStr">
        <is>
          <t>2026-01-25</t>
        </is>
      </c>
      <c r="D164" s="3" t="inlineStr">
        <is>
          <t>Hub-North</t>
        </is>
      </c>
      <c r="E164" s="3" t="inlineStr">
        <is>
          <t>Bangalore</t>
        </is>
      </c>
      <c r="F164" s="3" t="inlineStr">
        <is>
          <t>ApexCargo</t>
        </is>
      </c>
      <c r="G164" s="3" t="inlineStr">
        <is>
          <t>Air</t>
        </is>
      </c>
      <c r="H164" s="4" t="n">
        <v>132</v>
      </c>
      <c r="I164" s="5" t="n">
        <v>14138.62</v>
      </c>
      <c r="J164" s="2" t="inlineStr">
        <is>
          <t>Delivered</t>
        </is>
      </c>
      <c r="K164" s="4" t="n">
        <v>1</v>
      </c>
      <c r="L164" s="4" t="n">
        <v>3</v>
      </c>
      <c r="M164" s="4">
        <f>C164-B164</f>
        <v/>
      </c>
      <c r="N164" s="5">
        <f>I164/H164</f>
        <v/>
      </c>
      <c r="O164" s="2">
        <f>IF(J164="Cancelled","N/A",IF(L164&lt;=K164,"On Time","Late"))</f>
        <v/>
      </c>
    </row>
    <row r="165">
      <c r="A165" s="6" t="inlineStr">
        <is>
          <t>SHP-1164</t>
        </is>
      </c>
      <c r="B165" s="6" t="inlineStr">
        <is>
          <t>2026-01-30</t>
        </is>
      </c>
      <c r="C165" s="6" t="inlineStr">
        <is>
          <t>2026-01-30</t>
        </is>
      </c>
      <c r="D165" s="7" t="inlineStr">
        <is>
          <t>Hub-North</t>
        </is>
      </c>
      <c r="E165" s="7" t="inlineStr">
        <is>
          <t>Chennai</t>
        </is>
      </c>
      <c r="F165" s="7" t="inlineStr">
        <is>
          <t>SwiftLog</t>
        </is>
      </c>
      <c r="G165" s="7" t="inlineStr">
        <is>
          <t>Ground</t>
        </is>
      </c>
      <c r="H165" s="8" t="n">
        <v>171</v>
      </c>
      <c r="I165" s="9" t="n">
        <v>5354.34</v>
      </c>
      <c r="J165" s="6" t="inlineStr">
        <is>
          <t>In Transit</t>
        </is>
      </c>
      <c r="K165" s="8" t="n">
        <v>4</v>
      </c>
      <c r="L165" s="8" t="n">
        <v>4</v>
      </c>
      <c r="M165" s="8">
        <f>C165-B165</f>
        <v/>
      </c>
      <c r="N165" s="9">
        <f>I165/H165</f>
        <v/>
      </c>
      <c r="O165" s="6">
        <f>IF(J165="Cancelled","N/A",IF(L165&lt;=K165,"On Time","Late"))</f>
        <v/>
      </c>
    </row>
    <row r="166">
      <c r="A166" s="2" t="inlineStr">
        <is>
          <t>SHP-1165</t>
        </is>
      </c>
      <c r="B166" s="2" t="inlineStr">
        <is>
          <t>2026-02-04</t>
        </is>
      </c>
      <c r="C166" s="2" t="inlineStr">
        <is>
          <t>2026-02-05</t>
        </is>
      </c>
      <c r="D166" s="3" t="inlineStr">
        <is>
          <t>Hub-North</t>
        </is>
      </c>
      <c r="E166" s="3" t="inlineStr">
        <is>
          <t>Mumbai</t>
        </is>
      </c>
      <c r="F166" s="3" t="inlineStr">
        <is>
          <t>ApexCargo</t>
        </is>
      </c>
      <c r="G166" s="3" t="inlineStr">
        <is>
          <t>Ground</t>
        </is>
      </c>
      <c r="H166" s="4" t="n">
        <v>296</v>
      </c>
      <c r="I166" s="5" t="n">
        <v>9513.290000000001</v>
      </c>
      <c r="J166" s="2" t="inlineStr">
        <is>
          <t>Delayed</t>
        </is>
      </c>
      <c r="K166" s="4" t="n">
        <v>3</v>
      </c>
      <c r="L166" s="4" t="n">
        <v>7</v>
      </c>
      <c r="M166" s="4">
        <f>C166-B166</f>
        <v/>
      </c>
      <c r="N166" s="5">
        <f>I166/H166</f>
        <v/>
      </c>
      <c r="O166" s="2">
        <f>IF(J166="Cancelled","N/A",IF(L166&lt;=K166,"On Time","Late"))</f>
        <v/>
      </c>
    </row>
    <row r="167">
      <c r="A167" s="6" t="inlineStr">
        <is>
          <t>SHP-1166</t>
        </is>
      </c>
      <c r="B167" s="6" t="inlineStr">
        <is>
          <t>2026-01-08</t>
        </is>
      </c>
      <c r="C167" s="6" t="inlineStr">
        <is>
          <t>2026-01-09</t>
        </is>
      </c>
      <c r="D167" s="7" t="inlineStr">
        <is>
          <t>Hub-South</t>
        </is>
      </c>
      <c r="E167" s="7" t="inlineStr">
        <is>
          <t>Ahmedabad</t>
        </is>
      </c>
      <c r="F167" s="7" t="inlineStr">
        <is>
          <t>ApexCargo</t>
        </is>
      </c>
      <c r="G167" s="7" t="inlineStr">
        <is>
          <t>Air</t>
        </is>
      </c>
      <c r="H167" s="8" t="n">
        <v>108</v>
      </c>
      <c r="I167" s="9" t="n">
        <v>10461.56</v>
      </c>
      <c r="J167" s="6" t="inlineStr">
        <is>
          <t>Cancelled</t>
        </is>
      </c>
      <c r="K167" s="8" t="n">
        <v>1</v>
      </c>
      <c r="L167" s="8" t="n">
        <v>0</v>
      </c>
      <c r="M167" s="8">
        <f>C167-B167</f>
        <v/>
      </c>
      <c r="N167" s="9">
        <f>I167/H167</f>
        <v/>
      </c>
      <c r="O167" s="6">
        <f>IF(J167="Cancelled","N/A",IF(L167&lt;=K167,"On Time","Late"))</f>
        <v/>
      </c>
    </row>
    <row r="168">
      <c r="A168" s="2" t="inlineStr">
        <is>
          <t>SHP-1167</t>
        </is>
      </c>
      <c r="B168" s="2" t="inlineStr">
        <is>
          <t>2026-02-14</t>
        </is>
      </c>
      <c r="C168" s="2" t="inlineStr">
        <is>
          <t>2026-02-15</t>
        </is>
      </c>
      <c r="D168" s="3" t="inlineStr">
        <is>
          <t>Hub-North</t>
        </is>
      </c>
      <c r="E168" s="3" t="inlineStr">
        <is>
          <t>Kolkata</t>
        </is>
      </c>
      <c r="F168" s="3" t="inlineStr">
        <is>
          <t>SwiftLog</t>
        </is>
      </c>
      <c r="G168" s="3" t="inlineStr">
        <is>
          <t>Rail</t>
        </is>
      </c>
      <c r="H168" s="4" t="n">
        <v>1369</v>
      </c>
      <c r="I168" s="5" t="n">
        <v>17508.51</v>
      </c>
      <c r="J168" s="2" t="inlineStr">
        <is>
          <t>Delivered</t>
        </is>
      </c>
      <c r="K168" s="4" t="n">
        <v>6</v>
      </c>
      <c r="L168" s="4" t="n">
        <v>6</v>
      </c>
      <c r="M168" s="4">
        <f>C168-B168</f>
        <v/>
      </c>
      <c r="N168" s="5">
        <f>I168/H168</f>
        <v/>
      </c>
      <c r="O168" s="2">
        <f>IF(J168="Cancelled","N/A",IF(L168&lt;=K168,"On Time","Late"))</f>
        <v/>
      </c>
    </row>
    <row r="169">
      <c r="A169" s="6" t="inlineStr">
        <is>
          <t>SHP-1168</t>
        </is>
      </c>
      <c r="B169" s="6" t="inlineStr">
        <is>
          <t>2026-01-07</t>
        </is>
      </c>
      <c r="C169" s="6" t="inlineStr">
        <is>
          <t>2026-01-07</t>
        </is>
      </c>
      <c r="D169" s="7" t="inlineStr">
        <is>
          <t>Hub-North</t>
        </is>
      </c>
      <c r="E169" s="7" t="inlineStr">
        <is>
          <t>Kolkata</t>
        </is>
      </c>
      <c r="F169" s="7" t="inlineStr">
        <is>
          <t>MetroEx</t>
        </is>
      </c>
      <c r="G169" s="7" t="inlineStr">
        <is>
          <t>Air</t>
        </is>
      </c>
      <c r="H169" s="8" t="n">
        <v>119</v>
      </c>
      <c r="I169" s="9" t="n">
        <v>10809.08</v>
      </c>
      <c r="J169" s="6" t="inlineStr">
        <is>
          <t>Delayed</t>
        </is>
      </c>
      <c r="K169" s="8" t="n">
        <v>2</v>
      </c>
      <c r="L169" s="8" t="n">
        <v>7</v>
      </c>
      <c r="M169" s="8">
        <f>C169-B169</f>
        <v/>
      </c>
      <c r="N169" s="9">
        <f>I169/H169</f>
        <v/>
      </c>
      <c r="O169" s="6">
        <f>IF(J169="Cancelled","N/A",IF(L169&lt;=K169,"On Time","Late"))</f>
        <v/>
      </c>
    </row>
    <row r="170">
      <c r="A170" s="2" t="inlineStr">
        <is>
          <t>SHP-1169</t>
        </is>
      </c>
      <c r="B170" s="2" t="inlineStr">
        <is>
          <t>2026-01-03</t>
        </is>
      </c>
      <c r="C170" s="2" t="inlineStr">
        <is>
          <t>2026-01-04</t>
        </is>
      </c>
      <c r="D170" s="3" t="inlineStr">
        <is>
          <t>Hub-South</t>
        </is>
      </c>
      <c r="E170" s="3" t="inlineStr">
        <is>
          <t>Kolkata</t>
        </is>
      </c>
      <c r="F170" s="3" t="inlineStr">
        <is>
          <t>ApexCargo</t>
        </is>
      </c>
      <c r="G170" s="3" t="inlineStr">
        <is>
          <t>Ground</t>
        </is>
      </c>
      <c r="H170" s="4" t="n">
        <v>188</v>
      </c>
      <c r="I170" s="5" t="n">
        <v>7223.65</v>
      </c>
      <c r="J170" s="2" t="inlineStr">
        <is>
          <t>Delayed</t>
        </is>
      </c>
      <c r="K170" s="4" t="n">
        <v>4</v>
      </c>
      <c r="L170" s="4" t="n">
        <v>7</v>
      </c>
      <c r="M170" s="4">
        <f>C170-B170</f>
        <v/>
      </c>
      <c r="N170" s="5">
        <f>I170/H170</f>
        <v/>
      </c>
      <c r="O170" s="2">
        <f>IF(J170="Cancelled","N/A",IF(L170&lt;=K170,"On Time","Late"))</f>
        <v/>
      </c>
    </row>
    <row r="171">
      <c r="A171" s="6" t="inlineStr">
        <is>
          <t>SHP-1170</t>
        </is>
      </c>
      <c r="B171" s="6" t="inlineStr">
        <is>
          <t>2026-01-02</t>
        </is>
      </c>
      <c r="C171" s="6" t="inlineStr">
        <is>
          <t>2026-01-02</t>
        </is>
      </c>
      <c r="D171" s="7" t="inlineStr">
        <is>
          <t>Hub-South</t>
        </is>
      </c>
      <c r="E171" s="7" t="inlineStr">
        <is>
          <t>Mumbai</t>
        </is>
      </c>
      <c r="F171" s="7" t="inlineStr">
        <is>
          <t>SwiftLog</t>
        </is>
      </c>
      <c r="G171" s="7" t="inlineStr">
        <is>
          <t>Ground</t>
        </is>
      </c>
      <c r="H171" s="8" t="n">
        <v>270</v>
      </c>
      <c r="I171" s="9" t="n">
        <v>10953.98</v>
      </c>
      <c r="J171" s="6" t="inlineStr">
        <is>
          <t>Delayed</t>
        </is>
      </c>
      <c r="K171" s="8" t="n">
        <v>4</v>
      </c>
      <c r="L171" s="8" t="n">
        <v>9</v>
      </c>
      <c r="M171" s="8">
        <f>C171-B171</f>
        <v/>
      </c>
      <c r="N171" s="9">
        <f>I171/H171</f>
        <v/>
      </c>
      <c r="O171" s="6">
        <f>IF(J171="Cancelled","N/A",IF(L171&lt;=K171,"On Time","Late"))</f>
        <v/>
      </c>
    </row>
    <row r="172">
      <c r="A172" s="2" t="inlineStr">
        <is>
          <t>SHP-1171</t>
        </is>
      </c>
      <c r="B172" s="2" t="inlineStr">
        <is>
          <t>2026-02-06</t>
        </is>
      </c>
      <c r="C172" s="2" t="inlineStr">
        <is>
          <t>2026-02-06</t>
        </is>
      </c>
      <c r="D172" s="3" t="inlineStr">
        <is>
          <t>Hub-West</t>
        </is>
      </c>
      <c r="E172" s="3" t="inlineStr">
        <is>
          <t>Pune</t>
        </is>
      </c>
      <c r="F172" s="3" t="inlineStr">
        <is>
          <t>MetroEx</t>
        </is>
      </c>
      <c r="G172" s="3" t="inlineStr">
        <is>
          <t>Air</t>
        </is>
      </c>
      <c r="H172" s="4" t="n">
        <v>123</v>
      </c>
      <c r="I172" s="5" t="n">
        <v>13740.08</v>
      </c>
      <c r="J172" s="2" t="inlineStr">
        <is>
          <t>Delayed</t>
        </is>
      </c>
      <c r="K172" s="4" t="n">
        <v>1</v>
      </c>
      <c r="L172" s="4" t="n">
        <v>6</v>
      </c>
      <c r="M172" s="4">
        <f>C172-B172</f>
        <v/>
      </c>
      <c r="N172" s="5">
        <f>I172/H172</f>
        <v/>
      </c>
      <c r="O172" s="2">
        <f>IF(J172="Cancelled","N/A",IF(L172&lt;=K172,"On Time","Late"))</f>
        <v/>
      </c>
    </row>
    <row r="173">
      <c r="A173" s="6" t="inlineStr">
        <is>
          <t>SHP-1172</t>
        </is>
      </c>
      <c r="B173" s="6" t="inlineStr">
        <is>
          <t>2026-01-21</t>
        </is>
      </c>
      <c r="C173" s="6" t="inlineStr">
        <is>
          <t>2026-01-22</t>
        </is>
      </c>
      <c r="D173" s="7" t="inlineStr">
        <is>
          <t>Hub-West</t>
        </is>
      </c>
      <c r="E173" s="7" t="inlineStr">
        <is>
          <t>Delhi</t>
        </is>
      </c>
      <c r="F173" s="7" t="inlineStr">
        <is>
          <t>SwiftLog</t>
        </is>
      </c>
      <c r="G173" s="7" t="inlineStr">
        <is>
          <t>Rail</t>
        </is>
      </c>
      <c r="H173" s="8" t="n">
        <v>881</v>
      </c>
      <c r="I173" s="9" t="n">
        <v>14968.58</v>
      </c>
      <c r="J173" s="6" t="inlineStr">
        <is>
          <t>Delivered</t>
        </is>
      </c>
      <c r="K173" s="8" t="n">
        <v>8</v>
      </c>
      <c r="L173" s="8" t="n">
        <v>8</v>
      </c>
      <c r="M173" s="8">
        <f>C173-B173</f>
        <v/>
      </c>
      <c r="N173" s="9">
        <f>I173/H173</f>
        <v/>
      </c>
      <c r="O173" s="6">
        <f>IF(J173="Cancelled","N/A",IF(L173&lt;=K173,"On Time","Late"))</f>
        <v/>
      </c>
    </row>
    <row r="174">
      <c r="A174" s="2" t="inlineStr">
        <is>
          <t>SHP-1173</t>
        </is>
      </c>
      <c r="B174" s="2" t="inlineStr">
        <is>
          <t>2026-01-17</t>
        </is>
      </c>
      <c r="C174" s="2" t="inlineStr">
        <is>
          <t>2026-01-18</t>
        </is>
      </c>
      <c r="D174" s="3" t="inlineStr">
        <is>
          <t>Hub-West</t>
        </is>
      </c>
      <c r="E174" s="3" t="inlineStr">
        <is>
          <t>Kolkata</t>
        </is>
      </c>
      <c r="F174" s="3" t="inlineStr">
        <is>
          <t>ApexCargo</t>
        </is>
      </c>
      <c r="G174" s="3" t="inlineStr">
        <is>
          <t>Air</t>
        </is>
      </c>
      <c r="H174" s="4" t="n">
        <v>61</v>
      </c>
      <c r="I174" s="5" t="n">
        <v>5446.83</v>
      </c>
      <c r="J174" s="2" t="inlineStr">
        <is>
          <t>Cancelled</t>
        </is>
      </c>
      <c r="K174" s="4" t="n">
        <v>1</v>
      </c>
      <c r="L174" s="4" t="n">
        <v>0</v>
      </c>
      <c r="M174" s="4">
        <f>C174-B174</f>
        <v/>
      </c>
      <c r="N174" s="5">
        <f>I174/H174</f>
        <v/>
      </c>
      <c r="O174" s="2">
        <f>IF(J174="Cancelled","N/A",IF(L174&lt;=K174,"On Time","Late"))</f>
        <v/>
      </c>
    </row>
    <row r="175">
      <c r="A175" s="6" t="inlineStr">
        <is>
          <t>SHP-1174</t>
        </is>
      </c>
      <c r="B175" s="6" t="inlineStr">
        <is>
          <t>2026-01-12</t>
        </is>
      </c>
      <c r="C175" s="6" t="inlineStr">
        <is>
          <t>2026-01-13</t>
        </is>
      </c>
      <c r="D175" s="7" t="inlineStr">
        <is>
          <t>Hub-East</t>
        </is>
      </c>
      <c r="E175" s="7" t="inlineStr">
        <is>
          <t>Hyderabad</t>
        </is>
      </c>
      <c r="F175" s="7" t="inlineStr">
        <is>
          <t>ApexCargo</t>
        </is>
      </c>
      <c r="G175" s="7" t="inlineStr">
        <is>
          <t>Air</t>
        </is>
      </c>
      <c r="H175" s="8" t="n">
        <v>26</v>
      </c>
      <c r="I175" s="9" t="n">
        <v>2710.5</v>
      </c>
      <c r="J175" s="6" t="inlineStr">
        <is>
          <t>Delivered</t>
        </is>
      </c>
      <c r="K175" s="8" t="n">
        <v>2</v>
      </c>
      <c r="L175" s="8" t="n">
        <v>2</v>
      </c>
      <c r="M175" s="8">
        <f>C175-B175</f>
        <v/>
      </c>
      <c r="N175" s="9">
        <f>I175/H175</f>
        <v/>
      </c>
      <c r="O175" s="6">
        <f>IF(J175="Cancelled","N/A",IF(L175&lt;=K175,"On Time","Late"))</f>
        <v/>
      </c>
    </row>
    <row r="176">
      <c r="A176" s="2" t="inlineStr">
        <is>
          <t>SHP-1175</t>
        </is>
      </c>
      <c r="B176" s="2" t="inlineStr">
        <is>
          <t>2026-02-15</t>
        </is>
      </c>
      <c r="C176" s="2" t="inlineStr">
        <is>
          <t>2026-02-15</t>
        </is>
      </c>
      <c r="D176" s="3" t="inlineStr">
        <is>
          <t>Hub-North</t>
        </is>
      </c>
      <c r="E176" s="3" t="inlineStr">
        <is>
          <t>Chennai</t>
        </is>
      </c>
      <c r="F176" s="3" t="inlineStr">
        <is>
          <t>SwiftLog</t>
        </is>
      </c>
      <c r="G176" s="3" t="inlineStr">
        <is>
          <t>Ground</t>
        </is>
      </c>
      <c r="H176" s="4" t="n">
        <v>555</v>
      </c>
      <c r="I176" s="5" t="n">
        <v>15416.53</v>
      </c>
      <c r="J176" s="2" t="inlineStr">
        <is>
          <t>Delivered</t>
        </is>
      </c>
      <c r="K176" s="4" t="n">
        <v>4</v>
      </c>
      <c r="L176" s="4" t="n">
        <v>4</v>
      </c>
      <c r="M176" s="4">
        <f>C176-B176</f>
        <v/>
      </c>
      <c r="N176" s="5">
        <f>I176/H176</f>
        <v/>
      </c>
      <c r="O176" s="2">
        <f>IF(J176="Cancelled","N/A",IF(L176&lt;=K176,"On Time","Late"))</f>
        <v/>
      </c>
    </row>
    <row r="177">
      <c r="A177" s="6" t="inlineStr">
        <is>
          <t>SHP-1176</t>
        </is>
      </c>
      <c r="B177" s="6" t="inlineStr">
        <is>
          <t>2026-02-05</t>
        </is>
      </c>
      <c r="C177" s="6" t="inlineStr">
        <is>
          <t>2026-02-07</t>
        </is>
      </c>
      <c r="D177" s="7" t="inlineStr">
        <is>
          <t>Hub-North</t>
        </is>
      </c>
      <c r="E177" s="7" t="inlineStr">
        <is>
          <t>Pune</t>
        </is>
      </c>
      <c r="F177" s="7" t="inlineStr">
        <is>
          <t>ApexCargo</t>
        </is>
      </c>
      <c r="G177" s="7" t="inlineStr">
        <is>
          <t>Ground</t>
        </is>
      </c>
      <c r="H177" s="8" t="n">
        <v>463</v>
      </c>
      <c r="I177" s="9" t="n">
        <v>19763.12</v>
      </c>
      <c r="J177" s="6" t="inlineStr">
        <is>
          <t>Delivered</t>
        </is>
      </c>
      <c r="K177" s="8" t="n">
        <v>3</v>
      </c>
      <c r="L177" s="8" t="n">
        <v>3</v>
      </c>
      <c r="M177" s="8">
        <f>C177-B177</f>
        <v/>
      </c>
      <c r="N177" s="9">
        <f>I177/H177</f>
        <v/>
      </c>
      <c r="O177" s="6">
        <f>IF(J177="Cancelled","N/A",IF(L177&lt;=K177,"On Time","Late"))</f>
        <v/>
      </c>
    </row>
    <row r="178">
      <c r="A178" s="2" t="inlineStr">
        <is>
          <t>SHP-1177</t>
        </is>
      </c>
      <c r="B178" s="2" t="inlineStr">
        <is>
          <t>2026-02-15</t>
        </is>
      </c>
      <c r="C178" s="2" t="inlineStr">
        <is>
          <t>2026-02-16</t>
        </is>
      </c>
      <c r="D178" s="3" t="inlineStr">
        <is>
          <t>Hub-South</t>
        </is>
      </c>
      <c r="E178" s="3" t="inlineStr">
        <is>
          <t>Ahmedabad</t>
        </is>
      </c>
      <c r="F178" s="3" t="inlineStr">
        <is>
          <t>ApexCargo</t>
        </is>
      </c>
      <c r="G178" s="3" t="inlineStr">
        <is>
          <t>Ground</t>
        </is>
      </c>
      <c r="H178" s="4" t="n">
        <v>214</v>
      </c>
      <c r="I178" s="5" t="n">
        <v>9511.790000000001</v>
      </c>
      <c r="J178" s="2" t="inlineStr">
        <is>
          <t>Delivered</t>
        </is>
      </c>
      <c r="K178" s="4" t="n">
        <v>5</v>
      </c>
      <c r="L178" s="4" t="n">
        <v>5</v>
      </c>
      <c r="M178" s="4">
        <f>C178-B178</f>
        <v/>
      </c>
      <c r="N178" s="5">
        <f>I178/H178</f>
        <v/>
      </c>
      <c r="O178" s="2">
        <f>IF(J178="Cancelled","N/A",IF(L178&lt;=K178,"On Time","Late"))</f>
        <v/>
      </c>
    </row>
    <row r="179">
      <c r="A179" s="6" t="inlineStr">
        <is>
          <t>SHP-1178</t>
        </is>
      </c>
      <c r="B179" s="6" t="inlineStr">
        <is>
          <t>2026-01-30</t>
        </is>
      </c>
      <c r="C179" s="6" t="inlineStr">
        <is>
          <t>2026-02-01</t>
        </is>
      </c>
      <c r="D179" s="7" t="inlineStr">
        <is>
          <t>Hub-North</t>
        </is>
      </c>
      <c r="E179" s="7" t="inlineStr">
        <is>
          <t>Bangalore</t>
        </is>
      </c>
      <c r="F179" s="7" t="inlineStr">
        <is>
          <t>ApexCargo</t>
        </is>
      </c>
      <c r="G179" s="7" t="inlineStr">
        <is>
          <t>Rail</t>
        </is>
      </c>
      <c r="H179" s="8" t="n">
        <v>1703</v>
      </c>
      <c r="I179" s="9" t="n">
        <v>23534.83</v>
      </c>
      <c r="J179" s="6" t="inlineStr">
        <is>
          <t>In Transit</t>
        </is>
      </c>
      <c r="K179" s="8" t="n">
        <v>6</v>
      </c>
      <c r="L179" s="8" t="n">
        <v>6</v>
      </c>
      <c r="M179" s="8">
        <f>C179-B179</f>
        <v/>
      </c>
      <c r="N179" s="9">
        <f>I179/H179</f>
        <v/>
      </c>
      <c r="O179" s="6">
        <f>IF(J179="Cancelled","N/A",IF(L179&lt;=K179,"On Time","Late"))</f>
        <v/>
      </c>
    </row>
    <row r="180">
      <c r="A180" s="2" t="inlineStr">
        <is>
          <t>SHP-1179</t>
        </is>
      </c>
      <c r="B180" s="2" t="inlineStr">
        <is>
          <t>2026-02-02</t>
        </is>
      </c>
      <c r="C180" s="2" t="inlineStr">
        <is>
          <t>2026-02-02</t>
        </is>
      </c>
      <c r="D180" s="3" t="inlineStr">
        <is>
          <t>Hub-East</t>
        </is>
      </c>
      <c r="E180" s="3" t="inlineStr">
        <is>
          <t>Bangalore</t>
        </is>
      </c>
      <c r="F180" s="3" t="inlineStr">
        <is>
          <t>MetroEx</t>
        </is>
      </c>
      <c r="G180" s="3" t="inlineStr">
        <is>
          <t>Ground</t>
        </is>
      </c>
      <c r="H180" s="4" t="n">
        <v>232</v>
      </c>
      <c r="I180" s="5" t="n">
        <v>7297.15</v>
      </c>
      <c r="J180" s="2" t="inlineStr">
        <is>
          <t>Delivered</t>
        </is>
      </c>
      <c r="K180" s="4" t="n">
        <v>5</v>
      </c>
      <c r="L180" s="4" t="n">
        <v>5</v>
      </c>
      <c r="M180" s="4">
        <f>C180-B180</f>
        <v/>
      </c>
      <c r="N180" s="5">
        <f>I180/H180</f>
        <v/>
      </c>
      <c r="O180" s="2">
        <f>IF(J180="Cancelled","N/A",IF(L180&lt;=K180,"On Time","Late"))</f>
        <v/>
      </c>
    </row>
    <row r="181">
      <c r="A181" s="6" t="inlineStr">
        <is>
          <t>SHP-1180</t>
        </is>
      </c>
      <c r="B181" s="6" t="inlineStr">
        <is>
          <t>2026-02-03</t>
        </is>
      </c>
      <c r="C181" s="6" t="inlineStr">
        <is>
          <t>2026-02-04</t>
        </is>
      </c>
      <c r="D181" s="7" t="inlineStr">
        <is>
          <t>Hub-East</t>
        </is>
      </c>
      <c r="E181" s="7" t="inlineStr">
        <is>
          <t>Kolkata</t>
        </is>
      </c>
      <c r="F181" s="7" t="inlineStr">
        <is>
          <t>SwiftLog</t>
        </is>
      </c>
      <c r="G181" s="7" t="inlineStr">
        <is>
          <t>Rail</t>
        </is>
      </c>
      <c r="H181" s="8" t="n">
        <v>1628</v>
      </c>
      <c r="I181" s="9" t="n">
        <v>24004.06</v>
      </c>
      <c r="J181" s="6" t="inlineStr">
        <is>
          <t>Delivered</t>
        </is>
      </c>
      <c r="K181" s="8" t="n">
        <v>7</v>
      </c>
      <c r="L181" s="8" t="n">
        <v>8</v>
      </c>
      <c r="M181" s="8">
        <f>C181-B181</f>
        <v/>
      </c>
      <c r="N181" s="9">
        <f>I181/H181</f>
        <v/>
      </c>
      <c r="O181" s="6">
        <f>IF(J181="Cancelled","N/A",IF(L181&lt;=K181,"On Time","Late"))</f>
        <v/>
      </c>
    </row>
    <row r="182">
      <c r="A182" s="2" t="inlineStr">
        <is>
          <t>SHP-1181</t>
        </is>
      </c>
      <c r="B182" s="2" t="inlineStr">
        <is>
          <t>2026-02-11</t>
        </is>
      </c>
      <c r="C182" s="2" t="inlineStr">
        <is>
          <t>2026-02-11</t>
        </is>
      </c>
      <c r="D182" s="3" t="inlineStr">
        <is>
          <t>Hub-West</t>
        </is>
      </c>
      <c r="E182" s="3" t="inlineStr">
        <is>
          <t>Bangalore</t>
        </is>
      </c>
      <c r="F182" s="3" t="inlineStr">
        <is>
          <t>ApexCargo</t>
        </is>
      </c>
      <c r="G182" s="3" t="inlineStr">
        <is>
          <t>Rail</t>
        </is>
      </c>
      <c r="H182" s="4" t="n">
        <v>1975</v>
      </c>
      <c r="I182" s="5" t="n">
        <v>41514.52</v>
      </c>
      <c r="J182" s="2" t="inlineStr">
        <is>
          <t>Delivered</t>
        </is>
      </c>
      <c r="K182" s="4" t="n">
        <v>7</v>
      </c>
      <c r="L182" s="4" t="n">
        <v>6</v>
      </c>
      <c r="M182" s="4">
        <f>C182-B182</f>
        <v/>
      </c>
      <c r="N182" s="5">
        <f>I182/H182</f>
        <v/>
      </c>
      <c r="O182" s="2">
        <f>IF(J182="Cancelled","N/A",IF(L182&lt;=K182,"On Time","Late"))</f>
        <v/>
      </c>
    </row>
    <row r="183">
      <c r="A183" s="6" t="inlineStr">
        <is>
          <t>SHP-1182</t>
        </is>
      </c>
      <c r="B183" s="6" t="inlineStr">
        <is>
          <t>2026-01-06</t>
        </is>
      </c>
      <c r="C183" s="6" t="inlineStr">
        <is>
          <t>2026-01-06</t>
        </is>
      </c>
      <c r="D183" s="7" t="inlineStr">
        <is>
          <t>Hub-North</t>
        </is>
      </c>
      <c r="E183" s="7" t="inlineStr">
        <is>
          <t>Chennai</t>
        </is>
      </c>
      <c r="F183" s="7" t="inlineStr">
        <is>
          <t>ApexCargo</t>
        </is>
      </c>
      <c r="G183" s="7" t="inlineStr">
        <is>
          <t>Air</t>
        </is>
      </c>
      <c r="H183" s="8" t="n">
        <v>17</v>
      </c>
      <c r="I183" s="9" t="n">
        <v>1741.33</v>
      </c>
      <c r="J183" s="6" t="inlineStr">
        <is>
          <t>Delivered</t>
        </is>
      </c>
      <c r="K183" s="8" t="n">
        <v>2</v>
      </c>
      <c r="L183" s="8" t="n">
        <v>2</v>
      </c>
      <c r="M183" s="8">
        <f>C183-B183</f>
        <v/>
      </c>
      <c r="N183" s="9">
        <f>I183/H183</f>
        <v/>
      </c>
      <c r="O183" s="6">
        <f>IF(J183="Cancelled","N/A",IF(L183&lt;=K183,"On Time","Late"))</f>
        <v/>
      </c>
    </row>
    <row r="184">
      <c r="A184" s="2" t="inlineStr">
        <is>
          <t>SHP-1183</t>
        </is>
      </c>
      <c r="B184" s="2" t="inlineStr">
        <is>
          <t>2026-01-16</t>
        </is>
      </c>
      <c r="C184" s="2" t="inlineStr">
        <is>
          <t>2026-01-17</t>
        </is>
      </c>
      <c r="D184" s="3" t="inlineStr">
        <is>
          <t>Hub-North</t>
        </is>
      </c>
      <c r="E184" s="3" t="inlineStr">
        <is>
          <t>Pune</t>
        </is>
      </c>
      <c r="F184" s="3" t="inlineStr">
        <is>
          <t>SwiftLog</t>
        </is>
      </c>
      <c r="G184" s="3" t="inlineStr">
        <is>
          <t>Rail</t>
        </is>
      </c>
      <c r="H184" s="4" t="n">
        <v>622</v>
      </c>
      <c r="I184" s="5" t="n">
        <v>8447.26</v>
      </c>
      <c r="J184" s="2" t="inlineStr">
        <is>
          <t>Cancelled</t>
        </is>
      </c>
      <c r="K184" s="4" t="n">
        <v>8</v>
      </c>
      <c r="L184" s="4" t="n">
        <v>0</v>
      </c>
      <c r="M184" s="4">
        <f>C184-B184</f>
        <v/>
      </c>
      <c r="N184" s="5">
        <f>I184/H184</f>
        <v/>
      </c>
      <c r="O184" s="2">
        <f>IF(J184="Cancelled","N/A",IF(L184&lt;=K184,"On Time","Late"))</f>
        <v/>
      </c>
    </row>
    <row r="185">
      <c r="A185" s="6" t="inlineStr">
        <is>
          <t>SHP-1184</t>
        </is>
      </c>
      <c r="B185" s="6" t="inlineStr">
        <is>
          <t>2026-01-30</t>
        </is>
      </c>
      <c r="C185" s="6" t="inlineStr">
        <is>
          <t>2026-01-30</t>
        </is>
      </c>
      <c r="D185" s="7" t="inlineStr">
        <is>
          <t>Hub-North</t>
        </is>
      </c>
      <c r="E185" s="7" t="inlineStr">
        <is>
          <t>Bangalore</t>
        </is>
      </c>
      <c r="F185" s="7" t="inlineStr">
        <is>
          <t>MetroEx</t>
        </is>
      </c>
      <c r="G185" s="7" t="inlineStr">
        <is>
          <t>Rail</t>
        </is>
      </c>
      <c r="H185" s="8" t="n">
        <v>1153</v>
      </c>
      <c r="I185" s="9" t="n">
        <v>22301.32</v>
      </c>
      <c r="J185" s="6" t="inlineStr">
        <is>
          <t>In Transit</t>
        </is>
      </c>
      <c r="K185" s="8" t="n">
        <v>7</v>
      </c>
      <c r="L185" s="8" t="n">
        <v>7</v>
      </c>
      <c r="M185" s="8">
        <f>C185-B185</f>
        <v/>
      </c>
      <c r="N185" s="9">
        <f>I185/H185</f>
        <v/>
      </c>
      <c r="O185" s="6">
        <f>IF(J185="Cancelled","N/A",IF(L185&lt;=K185,"On Time","Late"))</f>
        <v/>
      </c>
    </row>
    <row r="186">
      <c r="A186" s="2" t="inlineStr">
        <is>
          <t>SHP-1185</t>
        </is>
      </c>
      <c r="B186" s="2" t="inlineStr">
        <is>
          <t>2026-01-09</t>
        </is>
      </c>
      <c r="C186" s="2" t="inlineStr">
        <is>
          <t>2026-01-10</t>
        </is>
      </c>
      <c r="D186" s="3" t="inlineStr">
        <is>
          <t>Hub-East</t>
        </is>
      </c>
      <c r="E186" s="3" t="inlineStr">
        <is>
          <t>Hyderabad</t>
        </is>
      </c>
      <c r="F186" s="3" t="inlineStr">
        <is>
          <t>SwiftLog</t>
        </is>
      </c>
      <c r="G186" s="3" t="inlineStr">
        <is>
          <t>Air</t>
        </is>
      </c>
      <c r="H186" s="4" t="n">
        <v>41</v>
      </c>
      <c r="I186" s="5" t="n">
        <v>3868.82</v>
      </c>
      <c r="J186" s="2" t="inlineStr">
        <is>
          <t>Delivered</t>
        </is>
      </c>
      <c r="K186" s="4" t="n">
        <v>1</v>
      </c>
      <c r="L186" s="4" t="n">
        <v>1</v>
      </c>
      <c r="M186" s="4">
        <f>C186-B186</f>
        <v/>
      </c>
      <c r="N186" s="5">
        <f>I186/H186</f>
        <v/>
      </c>
      <c r="O186" s="2">
        <f>IF(J186="Cancelled","N/A",IF(L186&lt;=K186,"On Time","Late"))</f>
        <v/>
      </c>
    </row>
    <row r="187">
      <c r="A187" s="6" t="inlineStr">
        <is>
          <t>SHP-1186</t>
        </is>
      </c>
      <c r="B187" s="6" t="inlineStr">
        <is>
          <t>2026-01-04</t>
        </is>
      </c>
      <c r="C187" s="6" t="inlineStr">
        <is>
          <t>2026-01-05</t>
        </is>
      </c>
      <c r="D187" s="7" t="inlineStr">
        <is>
          <t>Hub-South</t>
        </is>
      </c>
      <c r="E187" s="7" t="inlineStr">
        <is>
          <t>Ahmedabad</t>
        </is>
      </c>
      <c r="F187" s="7" t="inlineStr">
        <is>
          <t>SwiftLog</t>
        </is>
      </c>
      <c r="G187" s="7" t="inlineStr">
        <is>
          <t>Ground</t>
        </is>
      </c>
      <c r="H187" s="8" t="n">
        <v>566</v>
      </c>
      <c r="I187" s="9" t="n">
        <v>17856.57</v>
      </c>
      <c r="J187" s="6" t="inlineStr">
        <is>
          <t>Delayed</t>
        </is>
      </c>
      <c r="K187" s="8" t="n">
        <v>5</v>
      </c>
      <c r="L187" s="8" t="n">
        <v>8</v>
      </c>
      <c r="M187" s="8">
        <f>C187-B187</f>
        <v/>
      </c>
      <c r="N187" s="9">
        <f>I187/H187</f>
        <v/>
      </c>
      <c r="O187" s="6">
        <f>IF(J187="Cancelled","N/A",IF(L187&lt;=K187,"On Time","Late"))</f>
        <v/>
      </c>
    </row>
    <row r="188">
      <c r="A188" s="2" t="inlineStr">
        <is>
          <t>SHP-1187</t>
        </is>
      </c>
      <c r="B188" s="2" t="inlineStr">
        <is>
          <t>2026-01-11</t>
        </is>
      </c>
      <c r="C188" s="2" t="inlineStr">
        <is>
          <t>2026-01-12</t>
        </is>
      </c>
      <c r="D188" s="3" t="inlineStr">
        <is>
          <t>Hub-South</t>
        </is>
      </c>
      <c r="E188" s="3" t="inlineStr">
        <is>
          <t>Pune</t>
        </is>
      </c>
      <c r="F188" s="3" t="inlineStr">
        <is>
          <t>MetroEx</t>
        </is>
      </c>
      <c r="G188" s="3" t="inlineStr">
        <is>
          <t>Air</t>
        </is>
      </c>
      <c r="H188" s="4" t="n">
        <v>15</v>
      </c>
      <c r="I188" s="5" t="n">
        <v>1322.28</v>
      </c>
      <c r="J188" s="2" t="inlineStr">
        <is>
          <t>Cancelled</t>
        </is>
      </c>
      <c r="K188" s="4" t="n">
        <v>2</v>
      </c>
      <c r="L188" s="4" t="n">
        <v>0</v>
      </c>
      <c r="M188" s="4">
        <f>C188-B188</f>
        <v/>
      </c>
      <c r="N188" s="5">
        <f>I188/H188</f>
        <v/>
      </c>
      <c r="O188" s="2">
        <f>IF(J188="Cancelled","N/A",IF(L188&lt;=K188,"On Time","Late"))</f>
        <v/>
      </c>
    </row>
    <row r="189">
      <c r="A189" s="6" t="inlineStr">
        <is>
          <t>SHP-1188</t>
        </is>
      </c>
      <c r="B189" s="6" t="inlineStr">
        <is>
          <t>2026-01-16</t>
        </is>
      </c>
      <c r="C189" s="6" t="inlineStr">
        <is>
          <t>2026-01-16</t>
        </is>
      </c>
      <c r="D189" s="7" t="inlineStr">
        <is>
          <t>Hub-North</t>
        </is>
      </c>
      <c r="E189" s="7" t="inlineStr">
        <is>
          <t>Mumbai</t>
        </is>
      </c>
      <c r="F189" s="7" t="inlineStr">
        <is>
          <t>SwiftLog</t>
        </is>
      </c>
      <c r="G189" s="7" t="inlineStr">
        <is>
          <t>Air</t>
        </is>
      </c>
      <c r="H189" s="8" t="n">
        <v>136</v>
      </c>
      <c r="I189" s="9" t="n">
        <v>14404.19</v>
      </c>
      <c r="J189" s="6" t="inlineStr">
        <is>
          <t>Delivered</t>
        </is>
      </c>
      <c r="K189" s="8" t="n">
        <v>2</v>
      </c>
      <c r="L189" s="8" t="n">
        <v>3</v>
      </c>
      <c r="M189" s="8">
        <f>C189-B189</f>
        <v/>
      </c>
      <c r="N189" s="9">
        <f>I189/H189</f>
        <v/>
      </c>
      <c r="O189" s="6">
        <f>IF(J189="Cancelled","N/A",IF(L189&lt;=K189,"On Time","Late"))</f>
        <v/>
      </c>
    </row>
    <row r="190">
      <c r="A190" s="2" t="inlineStr">
        <is>
          <t>SHP-1189</t>
        </is>
      </c>
      <c r="B190" s="2" t="inlineStr">
        <is>
          <t>2026-01-01</t>
        </is>
      </c>
      <c r="C190" s="2" t="inlineStr">
        <is>
          <t>2026-01-01</t>
        </is>
      </c>
      <c r="D190" s="3" t="inlineStr">
        <is>
          <t>Hub-South</t>
        </is>
      </c>
      <c r="E190" s="3" t="inlineStr">
        <is>
          <t>Bangalore</t>
        </is>
      </c>
      <c r="F190" s="3" t="inlineStr">
        <is>
          <t>MetroEx</t>
        </is>
      </c>
      <c r="G190" s="3" t="inlineStr">
        <is>
          <t>Rail</t>
        </is>
      </c>
      <c r="H190" s="4" t="n">
        <v>1249</v>
      </c>
      <c r="I190" s="5" t="n">
        <v>24528.57</v>
      </c>
      <c r="J190" s="2" t="inlineStr">
        <is>
          <t>Delivered</t>
        </is>
      </c>
      <c r="K190" s="4" t="n">
        <v>7</v>
      </c>
      <c r="L190" s="4" t="n">
        <v>7</v>
      </c>
      <c r="M190" s="4">
        <f>C190-B190</f>
        <v/>
      </c>
      <c r="N190" s="5">
        <f>I190/H190</f>
        <v/>
      </c>
      <c r="O190" s="2">
        <f>IF(J190="Cancelled","N/A",IF(L190&lt;=K190,"On Time","Late"))</f>
        <v/>
      </c>
    </row>
    <row r="191">
      <c r="A191" s="6" t="inlineStr">
        <is>
          <t>SHP-1190</t>
        </is>
      </c>
      <c r="B191" s="6" t="inlineStr">
        <is>
          <t>2026-01-04</t>
        </is>
      </c>
      <c r="C191" s="6" t="inlineStr">
        <is>
          <t>2026-01-06</t>
        </is>
      </c>
      <c r="D191" s="7" t="inlineStr">
        <is>
          <t>Hub-West</t>
        </is>
      </c>
      <c r="E191" s="7" t="inlineStr">
        <is>
          <t>Hyderabad</t>
        </is>
      </c>
      <c r="F191" s="7" t="inlineStr">
        <is>
          <t>ApexCargo</t>
        </is>
      </c>
      <c r="G191" s="7" t="inlineStr">
        <is>
          <t>Air</t>
        </is>
      </c>
      <c r="H191" s="8" t="n">
        <v>28</v>
      </c>
      <c r="I191" s="9" t="n">
        <v>2758.62</v>
      </c>
      <c r="J191" s="6" t="inlineStr">
        <is>
          <t>Delivered</t>
        </is>
      </c>
      <c r="K191" s="8" t="n">
        <v>2</v>
      </c>
      <c r="L191" s="8" t="n">
        <v>3</v>
      </c>
      <c r="M191" s="8">
        <f>C191-B191</f>
        <v/>
      </c>
      <c r="N191" s="9">
        <f>I191/H191</f>
        <v/>
      </c>
      <c r="O191" s="6">
        <f>IF(J191="Cancelled","N/A",IF(L191&lt;=K191,"On Time","Late"))</f>
        <v/>
      </c>
    </row>
    <row r="192">
      <c r="A192" s="2" t="inlineStr">
        <is>
          <t>SHP-1191</t>
        </is>
      </c>
      <c r="B192" s="2" t="inlineStr">
        <is>
          <t>2026-02-13</t>
        </is>
      </c>
      <c r="C192" s="2" t="inlineStr">
        <is>
          <t>2026-02-15</t>
        </is>
      </c>
      <c r="D192" s="3" t="inlineStr">
        <is>
          <t>Hub-East</t>
        </is>
      </c>
      <c r="E192" s="3" t="inlineStr">
        <is>
          <t>Bangalore</t>
        </is>
      </c>
      <c r="F192" s="3" t="inlineStr">
        <is>
          <t>SwiftLog</t>
        </is>
      </c>
      <c r="G192" s="3" t="inlineStr">
        <is>
          <t>Air</t>
        </is>
      </c>
      <c r="H192" s="4" t="n">
        <v>105</v>
      </c>
      <c r="I192" s="5" t="n">
        <v>11846.25</v>
      </c>
      <c r="J192" s="2" t="inlineStr">
        <is>
          <t>Delayed</t>
        </is>
      </c>
      <c r="K192" s="4" t="n">
        <v>2</v>
      </c>
      <c r="L192" s="4" t="n">
        <v>5</v>
      </c>
      <c r="M192" s="4">
        <f>C192-B192</f>
        <v/>
      </c>
      <c r="N192" s="5">
        <f>I192/H192</f>
        <v/>
      </c>
      <c r="O192" s="2">
        <f>IF(J192="Cancelled","N/A",IF(L192&lt;=K192,"On Time","Late"))</f>
        <v/>
      </c>
    </row>
    <row r="193">
      <c r="A193" s="6" t="inlineStr">
        <is>
          <t>SHP-1192</t>
        </is>
      </c>
      <c r="B193" s="6" t="inlineStr">
        <is>
          <t>2026-01-13</t>
        </is>
      </c>
      <c r="C193" s="6" t="inlineStr">
        <is>
          <t>2026-01-15</t>
        </is>
      </c>
      <c r="D193" s="7" t="inlineStr">
        <is>
          <t>Hub-South</t>
        </is>
      </c>
      <c r="E193" s="7" t="inlineStr">
        <is>
          <t>Mumbai</t>
        </is>
      </c>
      <c r="F193" s="7" t="inlineStr">
        <is>
          <t>SwiftLog</t>
        </is>
      </c>
      <c r="G193" s="7" t="inlineStr">
        <is>
          <t>Ground</t>
        </is>
      </c>
      <c r="H193" s="8" t="n">
        <v>220</v>
      </c>
      <c r="I193" s="9" t="n">
        <v>8639.799999999999</v>
      </c>
      <c r="J193" s="6" t="inlineStr">
        <is>
          <t>Cancelled</t>
        </is>
      </c>
      <c r="K193" s="8" t="n">
        <v>4</v>
      </c>
      <c r="L193" s="8" t="n">
        <v>0</v>
      </c>
      <c r="M193" s="8">
        <f>C193-B193</f>
        <v/>
      </c>
      <c r="N193" s="9">
        <f>I193/H193</f>
        <v/>
      </c>
      <c r="O193" s="6">
        <f>IF(J193="Cancelled","N/A",IF(L193&lt;=K193,"On Time","Late"))</f>
        <v/>
      </c>
    </row>
    <row r="194">
      <c r="A194" s="2" t="inlineStr">
        <is>
          <t>SHP-1193</t>
        </is>
      </c>
      <c r="B194" s="2" t="inlineStr">
        <is>
          <t>2026-01-10</t>
        </is>
      </c>
      <c r="C194" s="2" t="inlineStr">
        <is>
          <t>2026-01-12</t>
        </is>
      </c>
      <c r="D194" s="3" t="inlineStr">
        <is>
          <t>Hub-West</t>
        </is>
      </c>
      <c r="E194" s="3" t="inlineStr">
        <is>
          <t>Hyderabad</t>
        </is>
      </c>
      <c r="F194" s="3" t="inlineStr">
        <is>
          <t>ApexCargo</t>
        </is>
      </c>
      <c r="G194" s="3" t="inlineStr">
        <is>
          <t>Air</t>
        </is>
      </c>
      <c r="H194" s="4" t="n">
        <v>51</v>
      </c>
      <c r="I194" s="5" t="n">
        <v>5036.42</v>
      </c>
      <c r="J194" s="2" t="inlineStr">
        <is>
          <t>Delayed</t>
        </is>
      </c>
      <c r="K194" s="4" t="n">
        <v>2</v>
      </c>
      <c r="L194" s="4" t="n">
        <v>7</v>
      </c>
      <c r="M194" s="4">
        <f>C194-B194</f>
        <v/>
      </c>
      <c r="N194" s="5">
        <f>I194/H194</f>
        <v/>
      </c>
      <c r="O194" s="2">
        <f>IF(J194="Cancelled","N/A",IF(L194&lt;=K194,"On Time","Late"))</f>
        <v/>
      </c>
    </row>
    <row r="195">
      <c r="A195" s="6" t="inlineStr">
        <is>
          <t>SHP-1194</t>
        </is>
      </c>
      <c r="B195" s="6" t="inlineStr">
        <is>
          <t>2026-02-15</t>
        </is>
      </c>
      <c r="C195" s="6" t="inlineStr">
        <is>
          <t>2026-02-17</t>
        </is>
      </c>
      <c r="D195" s="7" t="inlineStr">
        <is>
          <t>Hub-North</t>
        </is>
      </c>
      <c r="E195" s="7" t="inlineStr">
        <is>
          <t>Pune</t>
        </is>
      </c>
      <c r="F195" s="7" t="inlineStr">
        <is>
          <t>SwiftLog</t>
        </is>
      </c>
      <c r="G195" s="7" t="inlineStr">
        <is>
          <t>Air</t>
        </is>
      </c>
      <c r="H195" s="8" t="n">
        <v>94</v>
      </c>
      <c r="I195" s="9" t="n">
        <v>10206.82</v>
      </c>
      <c r="J195" s="6" t="inlineStr">
        <is>
          <t>Delivered</t>
        </is>
      </c>
      <c r="K195" s="8" t="n">
        <v>2</v>
      </c>
      <c r="L195" s="8" t="n">
        <v>4</v>
      </c>
      <c r="M195" s="8">
        <f>C195-B195</f>
        <v/>
      </c>
      <c r="N195" s="9">
        <f>I195/H195</f>
        <v/>
      </c>
      <c r="O195" s="6">
        <f>IF(J195="Cancelled","N/A",IF(L195&lt;=K195,"On Time","Late"))</f>
        <v/>
      </c>
    </row>
    <row r="196">
      <c r="A196" s="2" t="inlineStr">
        <is>
          <t>SHP-1195</t>
        </is>
      </c>
      <c r="B196" s="2" t="inlineStr">
        <is>
          <t>2026-02-14</t>
        </is>
      </c>
      <c r="C196" s="2" t="inlineStr">
        <is>
          <t>2026-02-14</t>
        </is>
      </c>
      <c r="D196" s="3" t="inlineStr">
        <is>
          <t>Hub-South</t>
        </is>
      </c>
      <c r="E196" s="3" t="inlineStr">
        <is>
          <t>Kolkata</t>
        </is>
      </c>
      <c r="F196" s="3" t="inlineStr">
        <is>
          <t>ApexCargo</t>
        </is>
      </c>
      <c r="G196" s="3" t="inlineStr">
        <is>
          <t>Rail</t>
        </is>
      </c>
      <c r="H196" s="4" t="n">
        <v>1682</v>
      </c>
      <c r="I196" s="5" t="n">
        <v>24011.28</v>
      </c>
      <c r="J196" s="2" t="inlineStr">
        <is>
          <t>Cancelled</t>
        </is>
      </c>
      <c r="K196" s="4" t="n">
        <v>5</v>
      </c>
      <c r="L196" s="4" t="n">
        <v>0</v>
      </c>
      <c r="M196" s="4">
        <f>C196-B196</f>
        <v/>
      </c>
      <c r="N196" s="5">
        <f>I196/H196</f>
        <v/>
      </c>
      <c r="O196" s="2">
        <f>IF(J196="Cancelled","N/A",IF(L196&lt;=K196,"On Time","Late"))</f>
        <v/>
      </c>
    </row>
    <row r="197">
      <c r="A197" s="6" t="inlineStr">
        <is>
          <t>SHP-1196</t>
        </is>
      </c>
      <c r="B197" s="6" t="inlineStr">
        <is>
          <t>2026-01-11</t>
        </is>
      </c>
      <c r="C197" s="6" t="inlineStr">
        <is>
          <t>2026-01-13</t>
        </is>
      </c>
      <c r="D197" s="7" t="inlineStr">
        <is>
          <t>Hub-South</t>
        </is>
      </c>
      <c r="E197" s="7" t="inlineStr">
        <is>
          <t>Bangalore</t>
        </is>
      </c>
      <c r="F197" s="7" t="inlineStr">
        <is>
          <t>ApexCargo</t>
        </is>
      </c>
      <c r="G197" s="7" t="inlineStr">
        <is>
          <t>Ground</t>
        </is>
      </c>
      <c r="H197" s="8" t="n">
        <v>166</v>
      </c>
      <c r="I197" s="9" t="n">
        <v>6050.93</v>
      </c>
      <c r="J197" s="6" t="inlineStr">
        <is>
          <t>Delivered</t>
        </is>
      </c>
      <c r="K197" s="8" t="n">
        <v>5</v>
      </c>
      <c r="L197" s="8" t="n">
        <v>5</v>
      </c>
      <c r="M197" s="8">
        <f>C197-B197</f>
        <v/>
      </c>
      <c r="N197" s="9">
        <f>I197/H197</f>
        <v/>
      </c>
      <c r="O197" s="6">
        <f>IF(J197="Cancelled","N/A",IF(L197&lt;=K197,"On Time","Late"))</f>
        <v/>
      </c>
    </row>
    <row r="198">
      <c r="A198" s="2" t="inlineStr">
        <is>
          <t>SHP-1197</t>
        </is>
      </c>
      <c r="B198" s="2" t="inlineStr">
        <is>
          <t>2026-01-02</t>
        </is>
      </c>
      <c r="C198" s="2" t="inlineStr">
        <is>
          <t>2026-01-03</t>
        </is>
      </c>
      <c r="D198" s="3" t="inlineStr">
        <is>
          <t>Hub-North</t>
        </is>
      </c>
      <c r="E198" s="3" t="inlineStr">
        <is>
          <t>Ahmedabad</t>
        </is>
      </c>
      <c r="F198" s="3" t="inlineStr">
        <is>
          <t>SwiftLog</t>
        </is>
      </c>
      <c r="G198" s="3" t="inlineStr">
        <is>
          <t>Air</t>
        </is>
      </c>
      <c r="H198" s="4" t="n">
        <v>62</v>
      </c>
      <c r="I198" s="5" t="n">
        <v>6160.52</v>
      </c>
      <c r="J198" s="2" t="inlineStr">
        <is>
          <t>Delivered</t>
        </is>
      </c>
      <c r="K198" s="4" t="n">
        <v>2</v>
      </c>
      <c r="L198" s="4" t="n">
        <v>4</v>
      </c>
      <c r="M198" s="4">
        <f>C198-B198</f>
        <v/>
      </c>
      <c r="N198" s="5">
        <f>I198/H198</f>
        <v/>
      </c>
      <c r="O198" s="2">
        <f>IF(J198="Cancelled","N/A",IF(L198&lt;=K198,"On Time","Late"))</f>
        <v/>
      </c>
    </row>
    <row r="199">
      <c r="A199" s="6" t="inlineStr">
        <is>
          <t>SHP-1198</t>
        </is>
      </c>
      <c r="B199" s="6" t="inlineStr">
        <is>
          <t>2026-01-09</t>
        </is>
      </c>
      <c r="C199" s="6" t="inlineStr">
        <is>
          <t>2026-01-11</t>
        </is>
      </c>
      <c r="D199" s="7" t="inlineStr">
        <is>
          <t>Hub-West</t>
        </is>
      </c>
      <c r="E199" s="7" t="inlineStr">
        <is>
          <t>Hyderabad</t>
        </is>
      </c>
      <c r="F199" s="7" t="inlineStr">
        <is>
          <t>ApexCargo</t>
        </is>
      </c>
      <c r="G199" s="7" t="inlineStr">
        <is>
          <t>Air</t>
        </is>
      </c>
      <c r="H199" s="8" t="n">
        <v>144</v>
      </c>
      <c r="I199" s="9" t="n">
        <v>14139.2</v>
      </c>
      <c r="J199" s="6" t="inlineStr">
        <is>
          <t>Cancelled</t>
        </is>
      </c>
      <c r="K199" s="8" t="n">
        <v>1</v>
      </c>
      <c r="L199" s="8" t="n">
        <v>0</v>
      </c>
      <c r="M199" s="8">
        <f>C199-B199</f>
        <v/>
      </c>
      <c r="N199" s="9">
        <f>I199/H199</f>
        <v/>
      </c>
      <c r="O199" s="6">
        <f>IF(J199="Cancelled","N/A",IF(L199&lt;=K199,"On Time","Late"))</f>
        <v/>
      </c>
    </row>
    <row r="200">
      <c r="A200" s="2" t="inlineStr">
        <is>
          <t>SHP-1199</t>
        </is>
      </c>
      <c r="B200" s="2" t="inlineStr">
        <is>
          <t>2026-02-04</t>
        </is>
      </c>
      <c r="C200" s="2" t="inlineStr">
        <is>
          <t>2026-02-05</t>
        </is>
      </c>
      <c r="D200" s="3" t="inlineStr">
        <is>
          <t>Hub-North</t>
        </is>
      </c>
      <c r="E200" s="3" t="inlineStr">
        <is>
          <t>Kolkata</t>
        </is>
      </c>
      <c r="F200" s="3" t="inlineStr">
        <is>
          <t>ApexCargo</t>
        </is>
      </c>
      <c r="G200" s="3" t="inlineStr">
        <is>
          <t>Air</t>
        </is>
      </c>
      <c r="H200" s="4" t="n">
        <v>59</v>
      </c>
      <c r="I200" s="5" t="n">
        <v>6991.9</v>
      </c>
      <c r="J200" s="2" t="inlineStr">
        <is>
          <t>Delivered</t>
        </is>
      </c>
      <c r="K200" s="4" t="n">
        <v>2</v>
      </c>
      <c r="L200" s="4" t="n">
        <v>2</v>
      </c>
      <c r="M200" s="4">
        <f>C200-B200</f>
        <v/>
      </c>
      <c r="N200" s="5">
        <f>I200/H200</f>
        <v/>
      </c>
      <c r="O200" s="2">
        <f>IF(J200="Cancelled","N/A",IF(L200&lt;=K200,"On Time","Late"))</f>
        <v/>
      </c>
    </row>
    <row r="201">
      <c r="A201" s="6" t="inlineStr">
        <is>
          <t>SHP-1200</t>
        </is>
      </c>
      <c r="B201" s="6" t="inlineStr">
        <is>
          <t>2026-01-20</t>
        </is>
      </c>
      <c r="C201" s="6" t="inlineStr">
        <is>
          <t>2026-01-21</t>
        </is>
      </c>
      <c r="D201" s="7" t="inlineStr">
        <is>
          <t>Hub-West</t>
        </is>
      </c>
      <c r="E201" s="7" t="inlineStr">
        <is>
          <t>Pune</t>
        </is>
      </c>
      <c r="F201" s="7" t="inlineStr">
        <is>
          <t>MetroEx</t>
        </is>
      </c>
      <c r="G201" s="7" t="inlineStr">
        <is>
          <t>Air</t>
        </is>
      </c>
      <c r="H201" s="8" t="n">
        <v>99</v>
      </c>
      <c r="I201" s="9" t="n">
        <v>10357.09</v>
      </c>
      <c r="J201" s="6" t="inlineStr">
        <is>
          <t>Delivered</t>
        </is>
      </c>
      <c r="K201" s="8" t="n">
        <v>2</v>
      </c>
      <c r="L201" s="8" t="n">
        <v>1</v>
      </c>
      <c r="M201" s="8">
        <f>C201-B201</f>
        <v/>
      </c>
      <c r="N201" s="9">
        <f>I201/H201</f>
        <v/>
      </c>
      <c r="O201" s="6">
        <f>IF(J201="Cancelled","N/A",IF(L201&lt;=K201,"On Time","Late"))</f>
        <v/>
      </c>
    </row>
    <row r="202">
      <c r="A202" s="2" t="inlineStr">
        <is>
          <t>SHP-1201</t>
        </is>
      </c>
      <c r="B202" s="2" t="inlineStr">
        <is>
          <t>2026-02-06</t>
        </is>
      </c>
      <c r="C202" s="2" t="inlineStr">
        <is>
          <t>2026-02-08</t>
        </is>
      </c>
      <c r="D202" s="3" t="inlineStr">
        <is>
          <t>Hub-South</t>
        </is>
      </c>
      <c r="E202" s="3" t="inlineStr">
        <is>
          <t>Ahmedabad</t>
        </is>
      </c>
      <c r="F202" s="3" t="inlineStr">
        <is>
          <t>MetroEx</t>
        </is>
      </c>
      <c r="G202" s="3" t="inlineStr">
        <is>
          <t>Ground</t>
        </is>
      </c>
      <c r="H202" s="4" t="n">
        <v>298</v>
      </c>
      <c r="I202" s="5" t="n">
        <v>7700.72</v>
      </c>
      <c r="J202" s="2" t="inlineStr">
        <is>
          <t>Delivered</t>
        </is>
      </c>
      <c r="K202" s="4" t="n">
        <v>5</v>
      </c>
      <c r="L202" s="4" t="n">
        <v>5</v>
      </c>
      <c r="M202" s="4">
        <f>C202-B202</f>
        <v/>
      </c>
      <c r="N202" s="5">
        <f>I202/H202</f>
        <v/>
      </c>
      <c r="O202" s="2">
        <f>IF(J202="Cancelled","N/A",IF(L202&lt;=K202,"On Time","Late"))</f>
        <v/>
      </c>
    </row>
    <row r="203">
      <c r="A203" s="6" t="inlineStr">
        <is>
          <t>SHP-1202</t>
        </is>
      </c>
      <c r="B203" s="6" t="inlineStr">
        <is>
          <t>2026-01-29</t>
        </is>
      </c>
      <c r="C203" s="6" t="inlineStr">
        <is>
          <t>2026-01-30</t>
        </is>
      </c>
      <c r="D203" s="7" t="inlineStr">
        <is>
          <t>Hub-South</t>
        </is>
      </c>
      <c r="E203" s="7" t="inlineStr">
        <is>
          <t>Chennai</t>
        </is>
      </c>
      <c r="F203" s="7" t="inlineStr">
        <is>
          <t>SwiftLog</t>
        </is>
      </c>
      <c r="G203" s="7" t="inlineStr">
        <is>
          <t>Rail</t>
        </is>
      </c>
      <c r="H203" s="8" t="n">
        <v>1055</v>
      </c>
      <c r="I203" s="9" t="n">
        <v>22503.4</v>
      </c>
      <c r="J203" s="6" t="inlineStr">
        <is>
          <t>Delivered</t>
        </is>
      </c>
      <c r="K203" s="8" t="n">
        <v>7</v>
      </c>
      <c r="L203" s="8" t="n">
        <v>6</v>
      </c>
      <c r="M203" s="8">
        <f>C203-B203</f>
        <v/>
      </c>
      <c r="N203" s="9">
        <f>I203/H203</f>
        <v/>
      </c>
      <c r="O203" s="6">
        <f>IF(J203="Cancelled","N/A",IF(L203&lt;=K203,"On Time","Late"))</f>
        <v/>
      </c>
    </row>
    <row r="204">
      <c r="A204" s="2" t="inlineStr">
        <is>
          <t>SHP-1203</t>
        </is>
      </c>
      <c r="B204" s="2" t="inlineStr">
        <is>
          <t>2026-02-09</t>
        </is>
      </c>
      <c r="C204" s="2" t="inlineStr">
        <is>
          <t>2026-02-11</t>
        </is>
      </c>
      <c r="D204" s="3" t="inlineStr">
        <is>
          <t>Hub-West</t>
        </is>
      </c>
      <c r="E204" s="3" t="inlineStr">
        <is>
          <t>Chennai</t>
        </is>
      </c>
      <c r="F204" s="3" t="inlineStr">
        <is>
          <t>SwiftLog</t>
        </is>
      </c>
      <c r="G204" s="3" t="inlineStr">
        <is>
          <t>Rail</t>
        </is>
      </c>
      <c r="H204" s="4" t="n">
        <v>1587</v>
      </c>
      <c r="I204" s="5" t="n">
        <v>22625.41</v>
      </c>
      <c r="J204" s="2" t="inlineStr">
        <is>
          <t>Delivered</t>
        </is>
      </c>
      <c r="K204" s="4" t="n">
        <v>6</v>
      </c>
      <c r="L204" s="4" t="n">
        <v>5</v>
      </c>
      <c r="M204" s="4">
        <f>C204-B204</f>
        <v/>
      </c>
      <c r="N204" s="5">
        <f>I204/H204</f>
        <v/>
      </c>
      <c r="O204" s="2">
        <f>IF(J204="Cancelled","N/A",IF(L204&lt;=K204,"On Time","Late"))</f>
        <v/>
      </c>
    </row>
    <row r="205">
      <c r="A205" s="6" t="inlineStr">
        <is>
          <t>SHP-1204</t>
        </is>
      </c>
      <c r="B205" s="6" t="inlineStr">
        <is>
          <t>2026-01-27</t>
        </is>
      </c>
      <c r="C205" s="6" t="inlineStr">
        <is>
          <t>2026-01-28</t>
        </is>
      </c>
      <c r="D205" s="7" t="inlineStr">
        <is>
          <t>Hub-South</t>
        </is>
      </c>
      <c r="E205" s="7" t="inlineStr">
        <is>
          <t>Delhi</t>
        </is>
      </c>
      <c r="F205" s="7" t="inlineStr">
        <is>
          <t>ApexCargo</t>
        </is>
      </c>
      <c r="G205" s="7" t="inlineStr">
        <is>
          <t>Ground</t>
        </is>
      </c>
      <c r="H205" s="8" t="n">
        <v>152</v>
      </c>
      <c r="I205" s="9" t="n">
        <v>6732.14</v>
      </c>
      <c r="J205" s="6" t="inlineStr">
        <is>
          <t>In Transit</t>
        </is>
      </c>
      <c r="K205" s="8" t="n">
        <v>3</v>
      </c>
      <c r="L205" s="8" t="n">
        <v>3</v>
      </c>
      <c r="M205" s="8">
        <f>C205-B205</f>
        <v/>
      </c>
      <c r="N205" s="9">
        <f>I205/H205</f>
        <v/>
      </c>
      <c r="O205" s="6">
        <f>IF(J205="Cancelled","N/A",IF(L205&lt;=K205,"On Time","Late"))</f>
        <v/>
      </c>
    </row>
    <row r="206">
      <c r="A206" s="2" t="inlineStr">
        <is>
          <t>SHP-1205</t>
        </is>
      </c>
      <c r="B206" s="2" t="inlineStr">
        <is>
          <t>2026-02-11</t>
        </is>
      </c>
      <c r="C206" s="2" t="inlineStr">
        <is>
          <t>2026-02-12</t>
        </is>
      </c>
      <c r="D206" s="3" t="inlineStr">
        <is>
          <t>Hub-South</t>
        </is>
      </c>
      <c r="E206" s="3" t="inlineStr">
        <is>
          <t>Chennai</t>
        </is>
      </c>
      <c r="F206" s="3" t="inlineStr">
        <is>
          <t>MetroEx</t>
        </is>
      </c>
      <c r="G206" s="3" t="inlineStr">
        <is>
          <t>Air</t>
        </is>
      </c>
      <c r="H206" s="4" t="n">
        <v>83</v>
      </c>
      <c r="I206" s="5" t="n">
        <v>8931.33</v>
      </c>
      <c r="J206" s="2" t="inlineStr">
        <is>
          <t>Delivered</t>
        </is>
      </c>
      <c r="K206" s="4" t="n">
        <v>1</v>
      </c>
      <c r="L206" s="4" t="n">
        <v>2</v>
      </c>
      <c r="M206" s="4">
        <f>C206-B206</f>
        <v/>
      </c>
      <c r="N206" s="5">
        <f>I206/H206</f>
        <v/>
      </c>
      <c r="O206" s="2">
        <f>IF(J206="Cancelled","N/A",IF(L206&lt;=K206,"On Time","Late"))</f>
        <v/>
      </c>
    </row>
    <row r="207">
      <c r="A207" s="6" t="inlineStr">
        <is>
          <t>SHP-1206</t>
        </is>
      </c>
      <c r="B207" s="6" t="inlineStr">
        <is>
          <t>2026-01-03</t>
        </is>
      </c>
      <c r="C207" s="6" t="inlineStr">
        <is>
          <t>2026-01-03</t>
        </is>
      </c>
      <c r="D207" s="7" t="inlineStr">
        <is>
          <t>Hub-South</t>
        </is>
      </c>
      <c r="E207" s="7" t="inlineStr">
        <is>
          <t>Bangalore</t>
        </is>
      </c>
      <c r="F207" s="7" t="inlineStr">
        <is>
          <t>SwiftLog</t>
        </is>
      </c>
      <c r="G207" s="7" t="inlineStr">
        <is>
          <t>Air</t>
        </is>
      </c>
      <c r="H207" s="8" t="n">
        <v>136</v>
      </c>
      <c r="I207" s="9" t="n">
        <v>12446.84</v>
      </c>
      <c r="J207" s="6" t="inlineStr">
        <is>
          <t>Delivered</t>
        </is>
      </c>
      <c r="K207" s="8" t="n">
        <v>2</v>
      </c>
      <c r="L207" s="8" t="n">
        <v>1</v>
      </c>
      <c r="M207" s="8">
        <f>C207-B207</f>
        <v/>
      </c>
      <c r="N207" s="9">
        <f>I207/H207</f>
        <v/>
      </c>
      <c r="O207" s="6">
        <f>IF(J207="Cancelled","N/A",IF(L207&lt;=K207,"On Time","Late"))</f>
        <v/>
      </c>
    </row>
    <row r="208">
      <c r="A208" s="2" t="inlineStr">
        <is>
          <t>SHP-1207</t>
        </is>
      </c>
      <c r="B208" s="2" t="inlineStr">
        <is>
          <t>2026-01-20</t>
        </is>
      </c>
      <c r="C208" s="2" t="inlineStr">
        <is>
          <t>2026-01-22</t>
        </is>
      </c>
      <c r="D208" s="3" t="inlineStr">
        <is>
          <t>Hub-East</t>
        </is>
      </c>
      <c r="E208" s="3" t="inlineStr">
        <is>
          <t>Hyderabad</t>
        </is>
      </c>
      <c r="F208" s="3" t="inlineStr">
        <is>
          <t>MetroEx</t>
        </is>
      </c>
      <c r="G208" s="3" t="inlineStr">
        <is>
          <t>Air</t>
        </is>
      </c>
      <c r="H208" s="4" t="n">
        <v>149</v>
      </c>
      <c r="I208" s="5" t="n">
        <v>15399.32</v>
      </c>
      <c r="J208" s="2" t="inlineStr">
        <is>
          <t>Cancelled</t>
        </is>
      </c>
      <c r="K208" s="4" t="n">
        <v>1</v>
      </c>
      <c r="L208" s="4" t="n">
        <v>0</v>
      </c>
      <c r="M208" s="4">
        <f>C208-B208</f>
        <v/>
      </c>
      <c r="N208" s="5">
        <f>I208/H208</f>
        <v/>
      </c>
      <c r="O208" s="2">
        <f>IF(J208="Cancelled","N/A",IF(L208&lt;=K208,"On Time","Late"))</f>
        <v/>
      </c>
    </row>
    <row r="209">
      <c r="A209" s="6" t="inlineStr">
        <is>
          <t>SHP-1208</t>
        </is>
      </c>
      <c r="B209" s="6" t="inlineStr">
        <is>
          <t>2026-01-18</t>
        </is>
      </c>
      <c r="C209" s="6" t="inlineStr">
        <is>
          <t>2026-01-18</t>
        </is>
      </c>
      <c r="D209" s="7" t="inlineStr">
        <is>
          <t>Hub-East</t>
        </is>
      </c>
      <c r="E209" s="7" t="inlineStr">
        <is>
          <t>Hyderabad</t>
        </is>
      </c>
      <c r="F209" s="7" t="inlineStr">
        <is>
          <t>SwiftLog</t>
        </is>
      </c>
      <c r="G209" s="7" t="inlineStr">
        <is>
          <t>Rail</t>
        </is>
      </c>
      <c r="H209" s="8" t="n">
        <v>1439</v>
      </c>
      <c r="I209" s="9" t="n">
        <v>26596.83</v>
      </c>
      <c r="J209" s="6" t="inlineStr">
        <is>
          <t>Delivered</t>
        </is>
      </c>
      <c r="K209" s="8" t="n">
        <v>6</v>
      </c>
      <c r="L209" s="8" t="n">
        <v>8</v>
      </c>
      <c r="M209" s="8">
        <f>C209-B209</f>
        <v/>
      </c>
      <c r="N209" s="9">
        <f>I209/H209</f>
        <v/>
      </c>
      <c r="O209" s="6">
        <f>IF(J209="Cancelled","N/A",IF(L209&lt;=K209,"On Time","Late"))</f>
        <v/>
      </c>
    </row>
    <row r="210">
      <c r="A210" s="2" t="inlineStr">
        <is>
          <t>SHP-1209</t>
        </is>
      </c>
      <c r="B210" s="2" t="inlineStr">
        <is>
          <t>2026-01-22</t>
        </is>
      </c>
      <c r="C210" s="2" t="inlineStr">
        <is>
          <t>2026-01-23</t>
        </is>
      </c>
      <c r="D210" s="3" t="inlineStr">
        <is>
          <t>Hub-West</t>
        </is>
      </c>
      <c r="E210" s="3" t="inlineStr">
        <is>
          <t>Bangalore</t>
        </is>
      </c>
      <c r="F210" s="3" t="inlineStr">
        <is>
          <t>ApexCargo</t>
        </is>
      </c>
      <c r="G210" s="3" t="inlineStr">
        <is>
          <t>Rail</t>
        </is>
      </c>
      <c r="H210" s="4" t="n">
        <v>1330</v>
      </c>
      <c r="I210" s="5" t="n">
        <v>26958.96</v>
      </c>
      <c r="J210" s="2" t="inlineStr">
        <is>
          <t>Delivered</t>
        </is>
      </c>
      <c r="K210" s="4" t="n">
        <v>7</v>
      </c>
      <c r="L210" s="4" t="n">
        <v>7</v>
      </c>
      <c r="M210" s="4">
        <f>C210-B210</f>
        <v/>
      </c>
      <c r="N210" s="5">
        <f>I210/H210</f>
        <v/>
      </c>
      <c r="O210" s="2">
        <f>IF(J210="Cancelled","N/A",IF(L210&lt;=K210,"On Time","Late"))</f>
        <v/>
      </c>
    </row>
    <row r="211">
      <c r="A211" s="6" t="inlineStr">
        <is>
          <t>SHP-1210</t>
        </is>
      </c>
      <c r="B211" s="6" t="inlineStr">
        <is>
          <t>2026-02-12</t>
        </is>
      </c>
      <c r="C211" s="6" t="inlineStr">
        <is>
          <t>2026-02-12</t>
        </is>
      </c>
      <c r="D211" s="7" t="inlineStr">
        <is>
          <t>Hub-West</t>
        </is>
      </c>
      <c r="E211" s="7" t="inlineStr">
        <is>
          <t>Bangalore</t>
        </is>
      </c>
      <c r="F211" s="7" t="inlineStr">
        <is>
          <t>MetroEx</t>
        </is>
      </c>
      <c r="G211" s="7" t="inlineStr">
        <is>
          <t>Air</t>
        </is>
      </c>
      <c r="H211" s="8" t="n">
        <v>73</v>
      </c>
      <c r="I211" s="9" t="n">
        <v>6222.45</v>
      </c>
      <c r="J211" s="6" t="inlineStr">
        <is>
          <t>Delivered</t>
        </is>
      </c>
      <c r="K211" s="8" t="n">
        <v>2</v>
      </c>
      <c r="L211" s="8" t="n">
        <v>2</v>
      </c>
      <c r="M211" s="8">
        <f>C211-B211</f>
        <v/>
      </c>
      <c r="N211" s="9">
        <f>I211/H211</f>
        <v/>
      </c>
      <c r="O211" s="6">
        <f>IF(J211="Cancelled","N/A",IF(L211&lt;=K211,"On Time","Late"))</f>
        <v/>
      </c>
    </row>
    <row r="212">
      <c r="A212" s="2" t="inlineStr">
        <is>
          <t>SHP-1211</t>
        </is>
      </c>
      <c r="B212" s="2" t="inlineStr">
        <is>
          <t>2026-01-18</t>
        </is>
      </c>
      <c r="C212" s="2" t="inlineStr">
        <is>
          <t>2026-01-19</t>
        </is>
      </c>
      <c r="D212" s="3" t="inlineStr">
        <is>
          <t>Hub-North</t>
        </is>
      </c>
      <c r="E212" s="3" t="inlineStr">
        <is>
          <t>Mumbai</t>
        </is>
      </c>
      <c r="F212" s="3" t="inlineStr">
        <is>
          <t>MetroEx</t>
        </is>
      </c>
      <c r="G212" s="3" t="inlineStr">
        <is>
          <t>Rail</t>
        </is>
      </c>
      <c r="H212" s="4" t="n">
        <v>1236</v>
      </c>
      <c r="I212" s="5" t="n">
        <v>23394.62</v>
      </c>
      <c r="J212" s="2" t="inlineStr">
        <is>
          <t>Delivered</t>
        </is>
      </c>
      <c r="K212" s="4" t="n">
        <v>5</v>
      </c>
      <c r="L212" s="4" t="n">
        <v>5</v>
      </c>
      <c r="M212" s="4">
        <f>C212-B212</f>
        <v/>
      </c>
      <c r="N212" s="5">
        <f>I212/H212</f>
        <v/>
      </c>
      <c r="O212" s="2">
        <f>IF(J212="Cancelled","N/A",IF(L212&lt;=K212,"On Time","Late"))</f>
        <v/>
      </c>
    </row>
    <row r="213">
      <c r="A213" s="6" t="inlineStr">
        <is>
          <t>SHP-1212</t>
        </is>
      </c>
      <c r="B213" s="6" t="inlineStr">
        <is>
          <t>2026-01-20</t>
        </is>
      </c>
      <c r="C213" s="6" t="inlineStr">
        <is>
          <t>2026-01-20</t>
        </is>
      </c>
      <c r="D213" s="7" t="inlineStr">
        <is>
          <t>Hub-South</t>
        </is>
      </c>
      <c r="E213" s="7" t="inlineStr">
        <is>
          <t>Kolkata</t>
        </is>
      </c>
      <c r="F213" s="7" t="inlineStr">
        <is>
          <t>ApexCargo</t>
        </is>
      </c>
      <c r="G213" s="7" t="inlineStr">
        <is>
          <t>Ground</t>
        </is>
      </c>
      <c r="H213" s="8" t="n">
        <v>477</v>
      </c>
      <c r="I213" s="9" t="n">
        <v>20664.88</v>
      </c>
      <c r="J213" s="6" t="inlineStr">
        <is>
          <t>Delayed</t>
        </is>
      </c>
      <c r="K213" s="8" t="n">
        <v>4</v>
      </c>
      <c r="L213" s="8" t="n">
        <v>7</v>
      </c>
      <c r="M213" s="8">
        <f>C213-B213</f>
        <v/>
      </c>
      <c r="N213" s="9">
        <f>I213/H213</f>
        <v/>
      </c>
      <c r="O213" s="6">
        <f>IF(J213="Cancelled","N/A",IF(L213&lt;=K213,"On Time","Late"))</f>
        <v/>
      </c>
    </row>
    <row r="214">
      <c r="A214" s="2" t="inlineStr">
        <is>
          <t>SHP-1213</t>
        </is>
      </c>
      <c r="B214" s="2" t="inlineStr">
        <is>
          <t>2026-01-15</t>
        </is>
      </c>
      <c r="C214" s="2" t="inlineStr">
        <is>
          <t>2026-01-15</t>
        </is>
      </c>
      <c r="D214" s="3" t="inlineStr">
        <is>
          <t>Hub-South</t>
        </is>
      </c>
      <c r="E214" s="3" t="inlineStr">
        <is>
          <t>Bangalore</t>
        </is>
      </c>
      <c r="F214" s="3" t="inlineStr">
        <is>
          <t>MetroEx</t>
        </is>
      </c>
      <c r="G214" s="3" t="inlineStr">
        <is>
          <t>Rail</t>
        </is>
      </c>
      <c r="H214" s="4" t="n">
        <v>1740</v>
      </c>
      <c r="I214" s="5" t="n">
        <v>27381.07</v>
      </c>
      <c r="J214" s="2" t="inlineStr">
        <is>
          <t>Delivered</t>
        </is>
      </c>
      <c r="K214" s="4" t="n">
        <v>8</v>
      </c>
      <c r="L214" s="4" t="n">
        <v>8</v>
      </c>
      <c r="M214" s="4">
        <f>C214-B214</f>
        <v/>
      </c>
      <c r="N214" s="5">
        <f>I214/H214</f>
        <v/>
      </c>
      <c r="O214" s="2">
        <f>IF(J214="Cancelled","N/A",IF(L214&lt;=K214,"On Time","Late"))</f>
        <v/>
      </c>
    </row>
    <row r="215">
      <c r="A215" s="6" t="inlineStr">
        <is>
          <t>SHP-1214</t>
        </is>
      </c>
      <c r="B215" s="6" t="inlineStr">
        <is>
          <t>2026-02-13</t>
        </is>
      </c>
      <c r="C215" s="6" t="inlineStr">
        <is>
          <t>2026-02-15</t>
        </is>
      </c>
      <c r="D215" s="7" t="inlineStr">
        <is>
          <t>Hub-East</t>
        </is>
      </c>
      <c r="E215" s="7" t="inlineStr">
        <is>
          <t>Pune</t>
        </is>
      </c>
      <c r="F215" s="7" t="inlineStr">
        <is>
          <t>ApexCargo</t>
        </is>
      </c>
      <c r="G215" s="7" t="inlineStr">
        <is>
          <t>Rail</t>
        </is>
      </c>
      <c r="H215" s="8" t="n">
        <v>1240</v>
      </c>
      <c r="I215" s="9" t="n">
        <v>15848.47</v>
      </c>
      <c r="J215" s="6" t="inlineStr">
        <is>
          <t>Delivered</t>
        </is>
      </c>
      <c r="K215" s="8" t="n">
        <v>5</v>
      </c>
      <c r="L215" s="8" t="n">
        <v>6</v>
      </c>
      <c r="M215" s="8">
        <f>C215-B215</f>
        <v/>
      </c>
      <c r="N215" s="9">
        <f>I215/H215</f>
        <v/>
      </c>
      <c r="O215" s="6">
        <f>IF(J215="Cancelled","N/A",IF(L215&lt;=K215,"On Time","Late"))</f>
        <v/>
      </c>
    </row>
    <row r="216">
      <c r="A216" s="2" t="inlineStr">
        <is>
          <t>SHP-1215</t>
        </is>
      </c>
      <c r="B216" s="2" t="inlineStr">
        <is>
          <t>2026-02-02</t>
        </is>
      </c>
      <c r="C216" s="2" t="inlineStr">
        <is>
          <t>2026-02-02</t>
        </is>
      </c>
      <c r="D216" s="3" t="inlineStr">
        <is>
          <t>Hub-West</t>
        </is>
      </c>
      <c r="E216" s="3" t="inlineStr">
        <is>
          <t>Bangalore</t>
        </is>
      </c>
      <c r="F216" s="3" t="inlineStr">
        <is>
          <t>MetroEx</t>
        </is>
      </c>
      <c r="G216" s="3" t="inlineStr">
        <is>
          <t>Rail</t>
        </is>
      </c>
      <c r="H216" s="4" t="n">
        <v>1404</v>
      </c>
      <c r="I216" s="5" t="n">
        <v>18480.01</v>
      </c>
      <c r="J216" s="2" t="inlineStr">
        <is>
          <t>Cancelled</t>
        </is>
      </c>
      <c r="K216" s="4" t="n">
        <v>6</v>
      </c>
      <c r="L216" s="4" t="n">
        <v>0</v>
      </c>
      <c r="M216" s="4">
        <f>C216-B216</f>
        <v/>
      </c>
      <c r="N216" s="5">
        <f>I216/H216</f>
        <v/>
      </c>
      <c r="O216" s="2">
        <f>IF(J216="Cancelled","N/A",IF(L216&lt;=K216,"On Time","Late"))</f>
        <v/>
      </c>
    </row>
    <row r="217">
      <c r="A217" s="6" t="inlineStr">
        <is>
          <t>SHP-1216</t>
        </is>
      </c>
      <c r="B217" s="6" t="inlineStr">
        <is>
          <t>2026-01-06</t>
        </is>
      </c>
      <c r="C217" s="6" t="inlineStr">
        <is>
          <t>2026-01-08</t>
        </is>
      </c>
      <c r="D217" s="7" t="inlineStr">
        <is>
          <t>Hub-South</t>
        </is>
      </c>
      <c r="E217" s="7" t="inlineStr">
        <is>
          <t>Mumbai</t>
        </is>
      </c>
      <c r="F217" s="7" t="inlineStr">
        <is>
          <t>MetroEx</t>
        </is>
      </c>
      <c r="G217" s="7" t="inlineStr">
        <is>
          <t>Ground</t>
        </is>
      </c>
      <c r="H217" s="8" t="n">
        <v>412</v>
      </c>
      <c r="I217" s="9" t="n">
        <v>13723.1</v>
      </c>
      <c r="J217" s="6" t="inlineStr">
        <is>
          <t>Delivered</t>
        </is>
      </c>
      <c r="K217" s="8" t="n">
        <v>5</v>
      </c>
      <c r="L217" s="8" t="n">
        <v>6</v>
      </c>
      <c r="M217" s="8">
        <f>C217-B217</f>
        <v/>
      </c>
      <c r="N217" s="9">
        <f>I217/H217</f>
        <v/>
      </c>
      <c r="O217" s="6">
        <f>IF(J217="Cancelled","N/A",IF(L217&lt;=K217,"On Time","Late"))</f>
        <v/>
      </c>
    </row>
    <row r="218">
      <c r="A218" s="2" t="inlineStr">
        <is>
          <t>SHP-1217</t>
        </is>
      </c>
      <c r="B218" s="2" t="inlineStr">
        <is>
          <t>2026-01-30</t>
        </is>
      </c>
      <c r="C218" s="2" t="inlineStr">
        <is>
          <t>2026-01-31</t>
        </is>
      </c>
      <c r="D218" s="3" t="inlineStr">
        <is>
          <t>Hub-East</t>
        </is>
      </c>
      <c r="E218" s="3" t="inlineStr">
        <is>
          <t>Ahmedabad</t>
        </is>
      </c>
      <c r="F218" s="3" t="inlineStr">
        <is>
          <t>MetroEx</t>
        </is>
      </c>
      <c r="G218" s="3" t="inlineStr">
        <is>
          <t>Ground</t>
        </is>
      </c>
      <c r="H218" s="4" t="n">
        <v>531</v>
      </c>
      <c r="I218" s="5" t="n">
        <v>15589.11</v>
      </c>
      <c r="J218" s="2" t="inlineStr">
        <is>
          <t>Delivered</t>
        </is>
      </c>
      <c r="K218" s="4" t="n">
        <v>3</v>
      </c>
      <c r="L218" s="4" t="n">
        <v>3</v>
      </c>
      <c r="M218" s="4">
        <f>C218-B218</f>
        <v/>
      </c>
      <c r="N218" s="5">
        <f>I218/H218</f>
        <v/>
      </c>
      <c r="O218" s="2">
        <f>IF(J218="Cancelled","N/A",IF(L218&lt;=K218,"On Time","Late"))</f>
        <v/>
      </c>
    </row>
    <row r="219">
      <c r="A219" s="6" t="inlineStr">
        <is>
          <t>SHP-1218</t>
        </is>
      </c>
      <c r="B219" s="6" t="inlineStr">
        <is>
          <t>2026-01-23</t>
        </is>
      </c>
      <c r="C219" s="6" t="inlineStr">
        <is>
          <t>2026-01-23</t>
        </is>
      </c>
      <c r="D219" s="7" t="inlineStr">
        <is>
          <t>Hub-East</t>
        </is>
      </c>
      <c r="E219" s="7" t="inlineStr">
        <is>
          <t>Delhi</t>
        </is>
      </c>
      <c r="F219" s="7" t="inlineStr">
        <is>
          <t>MetroEx</t>
        </is>
      </c>
      <c r="G219" s="7" t="inlineStr">
        <is>
          <t>Ground</t>
        </is>
      </c>
      <c r="H219" s="8" t="n">
        <v>296</v>
      </c>
      <c r="I219" s="9" t="n">
        <v>9820.49</v>
      </c>
      <c r="J219" s="6" t="inlineStr">
        <is>
          <t>In Transit</t>
        </is>
      </c>
      <c r="K219" s="8" t="n">
        <v>3</v>
      </c>
      <c r="L219" s="8" t="n">
        <v>3</v>
      </c>
      <c r="M219" s="8">
        <f>C219-B219</f>
        <v/>
      </c>
      <c r="N219" s="9">
        <f>I219/H219</f>
        <v/>
      </c>
      <c r="O219" s="6">
        <f>IF(J219="Cancelled","N/A",IF(L219&lt;=K219,"On Time","Late"))</f>
        <v/>
      </c>
    </row>
    <row r="220">
      <c r="A220" s="2" t="inlineStr">
        <is>
          <t>SHP-1219</t>
        </is>
      </c>
      <c r="B220" s="2" t="inlineStr">
        <is>
          <t>2026-01-24</t>
        </is>
      </c>
      <c r="C220" s="2" t="inlineStr">
        <is>
          <t>2026-01-25</t>
        </is>
      </c>
      <c r="D220" s="3" t="inlineStr">
        <is>
          <t>Hub-South</t>
        </is>
      </c>
      <c r="E220" s="3" t="inlineStr">
        <is>
          <t>Ahmedabad</t>
        </is>
      </c>
      <c r="F220" s="3" t="inlineStr">
        <is>
          <t>MetroEx</t>
        </is>
      </c>
      <c r="G220" s="3" t="inlineStr">
        <is>
          <t>Ground</t>
        </is>
      </c>
      <c r="H220" s="4" t="n">
        <v>499</v>
      </c>
      <c r="I220" s="5" t="n">
        <v>22097.16</v>
      </c>
      <c r="J220" s="2" t="inlineStr">
        <is>
          <t>Delivered</t>
        </is>
      </c>
      <c r="K220" s="4" t="n">
        <v>5</v>
      </c>
      <c r="L220" s="4" t="n">
        <v>7</v>
      </c>
      <c r="M220" s="4">
        <f>C220-B220</f>
        <v/>
      </c>
      <c r="N220" s="5">
        <f>I220/H220</f>
        <v/>
      </c>
      <c r="O220" s="2">
        <f>IF(J220="Cancelled","N/A",IF(L220&lt;=K220,"On Time","Late"))</f>
        <v/>
      </c>
    </row>
    <row r="221">
      <c r="A221" s="6" t="inlineStr">
        <is>
          <t>SHP-1220</t>
        </is>
      </c>
      <c r="B221" s="6" t="inlineStr">
        <is>
          <t>2026-01-23</t>
        </is>
      </c>
      <c r="C221" s="6" t="inlineStr">
        <is>
          <t>2026-01-23</t>
        </is>
      </c>
      <c r="D221" s="7" t="inlineStr">
        <is>
          <t>Hub-West</t>
        </is>
      </c>
      <c r="E221" s="7" t="inlineStr">
        <is>
          <t>Ahmedabad</t>
        </is>
      </c>
      <c r="F221" s="7" t="inlineStr">
        <is>
          <t>ApexCargo</t>
        </is>
      </c>
      <c r="G221" s="7" t="inlineStr">
        <is>
          <t>Ground</t>
        </is>
      </c>
      <c r="H221" s="8" t="n">
        <v>522</v>
      </c>
      <c r="I221" s="9" t="n">
        <v>23267.88</v>
      </c>
      <c r="J221" s="6" t="inlineStr">
        <is>
          <t>Delivered</t>
        </is>
      </c>
      <c r="K221" s="8" t="n">
        <v>3</v>
      </c>
      <c r="L221" s="8" t="n">
        <v>3</v>
      </c>
      <c r="M221" s="8">
        <f>C221-B221</f>
        <v/>
      </c>
      <c r="N221" s="9">
        <f>I221/H221</f>
        <v/>
      </c>
      <c r="O221" s="6">
        <f>IF(J221="Cancelled","N/A",IF(L221&lt;=K221,"On Time","Late"))</f>
        <v/>
      </c>
    </row>
    <row r="222">
      <c r="A222" s="2" t="inlineStr">
        <is>
          <t>SHP-1221</t>
        </is>
      </c>
      <c r="B222" s="2" t="inlineStr">
        <is>
          <t>2026-01-30</t>
        </is>
      </c>
      <c r="C222" s="2" t="inlineStr">
        <is>
          <t>2026-02-01</t>
        </is>
      </c>
      <c r="D222" s="3" t="inlineStr">
        <is>
          <t>Hub-South</t>
        </is>
      </c>
      <c r="E222" s="3" t="inlineStr">
        <is>
          <t>Ahmedabad</t>
        </is>
      </c>
      <c r="F222" s="3" t="inlineStr">
        <is>
          <t>SwiftLog</t>
        </is>
      </c>
      <c r="G222" s="3" t="inlineStr">
        <is>
          <t>Ground</t>
        </is>
      </c>
      <c r="H222" s="4" t="n">
        <v>385</v>
      </c>
      <c r="I222" s="5" t="n">
        <v>12290.43</v>
      </c>
      <c r="J222" s="2" t="inlineStr">
        <is>
          <t>Delivered</t>
        </is>
      </c>
      <c r="K222" s="4" t="n">
        <v>4</v>
      </c>
      <c r="L222" s="4" t="n">
        <v>6</v>
      </c>
      <c r="M222" s="4">
        <f>C222-B222</f>
        <v/>
      </c>
      <c r="N222" s="5">
        <f>I222/H222</f>
        <v/>
      </c>
      <c r="O222" s="2">
        <f>IF(J222="Cancelled","N/A",IF(L222&lt;=K222,"On Time","Late"))</f>
        <v/>
      </c>
    </row>
    <row r="223">
      <c r="A223" s="6" t="inlineStr">
        <is>
          <t>SHP-1222</t>
        </is>
      </c>
      <c r="B223" s="6" t="inlineStr">
        <is>
          <t>2026-01-08</t>
        </is>
      </c>
      <c r="C223" s="6" t="inlineStr">
        <is>
          <t>2026-01-08</t>
        </is>
      </c>
      <c r="D223" s="7" t="inlineStr">
        <is>
          <t>Hub-South</t>
        </is>
      </c>
      <c r="E223" s="7" t="inlineStr">
        <is>
          <t>Mumbai</t>
        </is>
      </c>
      <c r="F223" s="7" t="inlineStr">
        <is>
          <t>SwiftLog</t>
        </is>
      </c>
      <c r="G223" s="7" t="inlineStr">
        <is>
          <t>Ground</t>
        </is>
      </c>
      <c r="H223" s="8" t="n">
        <v>184</v>
      </c>
      <c r="I223" s="9" t="n">
        <v>4971.3</v>
      </c>
      <c r="J223" s="6" t="inlineStr">
        <is>
          <t>Cancelled</t>
        </is>
      </c>
      <c r="K223" s="8" t="n">
        <v>3</v>
      </c>
      <c r="L223" s="8" t="n">
        <v>0</v>
      </c>
      <c r="M223" s="8">
        <f>C223-B223</f>
        <v/>
      </c>
      <c r="N223" s="9">
        <f>I223/H223</f>
        <v/>
      </c>
      <c r="O223" s="6">
        <f>IF(J223="Cancelled","N/A",IF(L223&lt;=K223,"On Time","Late"))</f>
        <v/>
      </c>
    </row>
    <row r="224">
      <c r="A224" s="2" t="inlineStr">
        <is>
          <t>SHP-1223</t>
        </is>
      </c>
      <c r="B224" s="2" t="inlineStr">
        <is>
          <t>2026-02-08</t>
        </is>
      </c>
      <c r="C224" s="2" t="inlineStr">
        <is>
          <t>2026-02-08</t>
        </is>
      </c>
      <c r="D224" s="3" t="inlineStr">
        <is>
          <t>Hub-West</t>
        </is>
      </c>
      <c r="E224" s="3" t="inlineStr">
        <is>
          <t>Mumbai</t>
        </is>
      </c>
      <c r="F224" s="3" t="inlineStr">
        <is>
          <t>MetroEx</t>
        </is>
      </c>
      <c r="G224" s="3" t="inlineStr">
        <is>
          <t>Air</t>
        </is>
      </c>
      <c r="H224" s="4" t="n">
        <v>69</v>
      </c>
      <c r="I224" s="5" t="n">
        <v>7168.52</v>
      </c>
      <c r="J224" s="2" t="inlineStr">
        <is>
          <t>Delivered</t>
        </is>
      </c>
      <c r="K224" s="4" t="n">
        <v>1</v>
      </c>
      <c r="L224" s="4" t="n">
        <v>2</v>
      </c>
      <c r="M224" s="4">
        <f>C224-B224</f>
        <v/>
      </c>
      <c r="N224" s="5">
        <f>I224/H224</f>
        <v/>
      </c>
      <c r="O224" s="2">
        <f>IF(J224="Cancelled","N/A",IF(L224&lt;=K224,"On Time","Late"))</f>
        <v/>
      </c>
    </row>
    <row r="225">
      <c r="A225" s="6" t="inlineStr">
        <is>
          <t>SHP-1224</t>
        </is>
      </c>
      <c r="B225" s="6" t="inlineStr">
        <is>
          <t>2026-01-19</t>
        </is>
      </c>
      <c r="C225" s="6" t="inlineStr">
        <is>
          <t>2026-01-19</t>
        </is>
      </c>
      <c r="D225" s="7" t="inlineStr">
        <is>
          <t>Hub-North</t>
        </is>
      </c>
      <c r="E225" s="7" t="inlineStr">
        <is>
          <t>Hyderabad</t>
        </is>
      </c>
      <c r="F225" s="7" t="inlineStr">
        <is>
          <t>SwiftLog</t>
        </is>
      </c>
      <c r="G225" s="7" t="inlineStr">
        <is>
          <t>Air</t>
        </is>
      </c>
      <c r="H225" s="8" t="n">
        <v>46</v>
      </c>
      <c r="I225" s="9" t="n">
        <v>5496.97</v>
      </c>
      <c r="J225" s="6" t="inlineStr">
        <is>
          <t>In Transit</t>
        </is>
      </c>
      <c r="K225" s="8" t="n">
        <v>1</v>
      </c>
      <c r="L225" s="8" t="n">
        <v>1</v>
      </c>
      <c r="M225" s="8">
        <f>C225-B225</f>
        <v/>
      </c>
      <c r="N225" s="9">
        <f>I225/H225</f>
        <v/>
      </c>
      <c r="O225" s="6">
        <f>IF(J225="Cancelled","N/A",IF(L225&lt;=K225,"On Time","Late"))</f>
        <v/>
      </c>
    </row>
    <row r="226">
      <c r="A226" s="2" t="inlineStr">
        <is>
          <t>SHP-1225</t>
        </is>
      </c>
      <c r="B226" s="2" t="inlineStr">
        <is>
          <t>2026-01-20</t>
        </is>
      </c>
      <c r="C226" s="2" t="inlineStr">
        <is>
          <t>2026-01-21</t>
        </is>
      </c>
      <c r="D226" s="3" t="inlineStr">
        <is>
          <t>Hub-East</t>
        </is>
      </c>
      <c r="E226" s="3" t="inlineStr">
        <is>
          <t>Bangalore</t>
        </is>
      </c>
      <c r="F226" s="3" t="inlineStr">
        <is>
          <t>ApexCargo</t>
        </is>
      </c>
      <c r="G226" s="3" t="inlineStr">
        <is>
          <t>Rail</t>
        </is>
      </c>
      <c r="H226" s="4" t="n">
        <v>1374</v>
      </c>
      <c r="I226" s="5" t="n">
        <v>24125.39</v>
      </c>
      <c r="J226" s="2" t="inlineStr">
        <is>
          <t>Delayed</t>
        </is>
      </c>
      <c r="K226" s="4" t="n">
        <v>5</v>
      </c>
      <c r="L226" s="4" t="n">
        <v>10</v>
      </c>
      <c r="M226" s="4">
        <f>C226-B226</f>
        <v/>
      </c>
      <c r="N226" s="5">
        <f>I226/H226</f>
        <v/>
      </c>
      <c r="O226" s="2">
        <f>IF(J226="Cancelled","N/A",IF(L226&lt;=K226,"On Time","Late"))</f>
        <v/>
      </c>
    </row>
    <row r="227">
      <c r="A227" s="6" t="inlineStr">
        <is>
          <t>SHP-1226</t>
        </is>
      </c>
      <c r="B227" s="6" t="inlineStr">
        <is>
          <t>2026-02-03</t>
        </is>
      </c>
      <c r="C227" s="6" t="inlineStr">
        <is>
          <t>2026-02-04</t>
        </is>
      </c>
      <c r="D227" s="7" t="inlineStr">
        <is>
          <t>Hub-South</t>
        </is>
      </c>
      <c r="E227" s="7" t="inlineStr">
        <is>
          <t>Ahmedabad</t>
        </is>
      </c>
      <c r="F227" s="7" t="inlineStr">
        <is>
          <t>SwiftLog</t>
        </is>
      </c>
      <c r="G227" s="7" t="inlineStr">
        <is>
          <t>Air</t>
        </is>
      </c>
      <c r="H227" s="8" t="n">
        <v>106</v>
      </c>
      <c r="I227" s="9" t="n">
        <v>9692.190000000001</v>
      </c>
      <c r="J227" s="6" t="inlineStr">
        <is>
          <t>Delivered</t>
        </is>
      </c>
      <c r="K227" s="8" t="n">
        <v>2</v>
      </c>
      <c r="L227" s="8" t="n">
        <v>2</v>
      </c>
      <c r="M227" s="8">
        <f>C227-B227</f>
        <v/>
      </c>
      <c r="N227" s="9">
        <f>I227/H227</f>
        <v/>
      </c>
      <c r="O227" s="6">
        <f>IF(J227="Cancelled","N/A",IF(L227&lt;=K227,"On Time","Late"))</f>
        <v/>
      </c>
    </row>
    <row r="228">
      <c r="A228" s="2" t="inlineStr">
        <is>
          <t>SHP-1227</t>
        </is>
      </c>
      <c r="B228" s="2" t="inlineStr">
        <is>
          <t>2026-01-20</t>
        </is>
      </c>
      <c r="C228" s="2" t="inlineStr">
        <is>
          <t>2026-01-20</t>
        </is>
      </c>
      <c r="D228" s="3" t="inlineStr">
        <is>
          <t>Hub-South</t>
        </is>
      </c>
      <c r="E228" s="3" t="inlineStr">
        <is>
          <t>Mumbai</t>
        </is>
      </c>
      <c r="F228" s="3" t="inlineStr">
        <is>
          <t>ApexCargo</t>
        </is>
      </c>
      <c r="G228" s="3" t="inlineStr">
        <is>
          <t>Air</t>
        </is>
      </c>
      <c r="H228" s="4" t="n">
        <v>116</v>
      </c>
      <c r="I228" s="5" t="n">
        <v>12122.58</v>
      </c>
      <c r="J228" s="2" t="inlineStr">
        <is>
          <t>In Transit</t>
        </is>
      </c>
      <c r="K228" s="4" t="n">
        <v>1</v>
      </c>
      <c r="L228" s="4" t="n">
        <v>1</v>
      </c>
      <c r="M228" s="4">
        <f>C228-B228</f>
        <v/>
      </c>
      <c r="N228" s="5">
        <f>I228/H228</f>
        <v/>
      </c>
      <c r="O228" s="2">
        <f>IF(J228="Cancelled","N/A",IF(L228&lt;=K228,"On Time","Late"))</f>
        <v/>
      </c>
    </row>
    <row r="229">
      <c r="A229" s="6" t="inlineStr">
        <is>
          <t>SHP-1228</t>
        </is>
      </c>
      <c r="B229" s="6" t="inlineStr">
        <is>
          <t>2026-01-16</t>
        </is>
      </c>
      <c r="C229" s="6" t="inlineStr">
        <is>
          <t>2026-01-17</t>
        </is>
      </c>
      <c r="D229" s="7" t="inlineStr">
        <is>
          <t>Hub-West</t>
        </is>
      </c>
      <c r="E229" s="7" t="inlineStr">
        <is>
          <t>Hyderabad</t>
        </is>
      </c>
      <c r="F229" s="7" t="inlineStr">
        <is>
          <t>ApexCargo</t>
        </is>
      </c>
      <c r="G229" s="7" t="inlineStr">
        <is>
          <t>Ground</t>
        </is>
      </c>
      <c r="H229" s="8" t="n">
        <v>380</v>
      </c>
      <c r="I229" s="9" t="n">
        <v>15938.21</v>
      </c>
      <c r="J229" s="6" t="inlineStr">
        <is>
          <t>Delivered</t>
        </is>
      </c>
      <c r="K229" s="8" t="n">
        <v>3</v>
      </c>
      <c r="L229" s="8" t="n">
        <v>2</v>
      </c>
      <c r="M229" s="8">
        <f>C229-B229</f>
        <v/>
      </c>
      <c r="N229" s="9">
        <f>I229/H229</f>
        <v/>
      </c>
      <c r="O229" s="6">
        <f>IF(J229="Cancelled","N/A",IF(L229&lt;=K229,"On Time","Late"))</f>
        <v/>
      </c>
    </row>
    <row r="230">
      <c r="A230" s="2" t="inlineStr">
        <is>
          <t>SHP-1229</t>
        </is>
      </c>
      <c r="B230" s="2" t="inlineStr">
        <is>
          <t>2026-01-18</t>
        </is>
      </c>
      <c r="C230" s="2" t="inlineStr">
        <is>
          <t>2026-01-19</t>
        </is>
      </c>
      <c r="D230" s="3" t="inlineStr">
        <is>
          <t>Hub-East</t>
        </is>
      </c>
      <c r="E230" s="3" t="inlineStr">
        <is>
          <t>Delhi</t>
        </is>
      </c>
      <c r="F230" s="3" t="inlineStr">
        <is>
          <t>SwiftLog</t>
        </is>
      </c>
      <c r="G230" s="3" t="inlineStr">
        <is>
          <t>Rail</t>
        </is>
      </c>
      <c r="H230" s="4" t="n">
        <v>1983</v>
      </c>
      <c r="I230" s="5" t="n">
        <v>37110.86</v>
      </c>
      <c r="J230" s="2" t="inlineStr">
        <is>
          <t>Cancelled</t>
        </is>
      </c>
      <c r="K230" s="4" t="n">
        <v>6</v>
      </c>
      <c r="L230" s="4" t="n">
        <v>0</v>
      </c>
      <c r="M230" s="4">
        <f>C230-B230</f>
        <v/>
      </c>
      <c r="N230" s="5">
        <f>I230/H230</f>
        <v/>
      </c>
      <c r="O230" s="2">
        <f>IF(J230="Cancelled","N/A",IF(L230&lt;=K230,"On Time","Late"))</f>
        <v/>
      </c>
    </row>
    <row r="231">
      <c r="A231" s="6" t="inlineStr">
        <is>
          <t>SHP-1230</t>
        </is>
      </c>
      <c r="B231" s="6" t="inlineStr">
        <is>
          <t>2026-01-14</t>
        </is>
      </c>
      <c r="C231" s="6" t="inlineStr">
        <is>
          <t>2026-01-15</t>
        </is>
      </c>
      <c r="D231" s="7" t="inlineStr">
        <is>
          <t>Hub-North</t>
        </is>
      </c>
      <c r="E231" s="7" t="inlineStr">
        <is>
          <t>Mumbai</t>
        </is>
      </c>
      <c r="F231" s="7" t="inlineStr">
        <is>
          <t>SwiftLog</t>
        </is>
      </c>
      <c r="G231" s="7" t="inlineStr">
        <is>
          <t>Ground</t>
        </is>
      </c>
      <c r="H231" s="8" t="n">
        <v>529</v>
      </c>
      <c r="I231" s="9" t="n">
        <v>14466.21</v>
      </c>
      <c r="J231" s="6" t="inlineStr">
        <is>
          <t>Delivered</t>
        </is>
      </c>
      <c r="K231" s="8" t="n">
        <v>4</v>
      </c>
      <c r="L231" s="8" t="n">
        <v>6</v>
      </c>
      <c r="M231" s="8">
        <f>C231-B231</f>
        <v/>
      </c>
      <c r="N231" s="9">
        <f>I231/H231</f>
        <v/>
      </c>
      <c r="O231" s="6">
        <f>IF(J231="Cancelled","N/A",IF(L231&lt;=K231,"On Time","Late"))</f>
        <v/>
      </c>
    </row>
    <row r="232">
      <c r="A232" s="2" t="inlineStr">
        <is>
          <t>SHP-1231</t>
        </is>
      </c>
      <c r="B232" s="2" t="inlineStr">
        <is>
          <t>2026-02-08</t>
        </is>
      </c>
      <c r="C232" s="2" t="inlineStr">
        <is>
          <t>2026-02-08</t>
        </is>
      </c>
      <c r="D232" s="3" t="inlineStr">
        <is>
          <t>Hub-South</t>
        </is>
      </c>
      <c r="E232" s="3" t="inlineStr">
        <is>
          <t>Chennai</t>
        </is>
      </c>
      <c r="F232" s="3" t="inlineStr">
        <is>
          <t>ApexCargo</t>
        </is>
      </c>
      <c r="G232" s="3" t="inlineStr">
        <is>
          <t>Air</t>
        </is>
      </c>
      <c r="H232" s="4" t="n">
        <v>82</v>
      </c>
      <c r="I232" s="5" t="n">
        <v>8062.5</v>
      </c>
      <c r="J232" s="2" t="inlineStr">
        <is>
          <t>Delivered</t>
        </is>
      </c>
      <c r="K232" s="4" t="n">
        <v>2</v>
      </c>
      <c r="L232" s="4" t="n">
        <v>2</v>
      </c>
      <c r="M232" s="4">
        <f>C232-B232</f>
        <v/>
      </c>
      <c r="N232" s="5">
        <f>I232/H232</f>
        <v/>
      </c>
      <c r="O232" s="2">
        <f>IF(J232="Cancelled","N/A",IF(L232&lt;=K232,"On Time","Late"))</f>
        <v/>
      </c>
    </row>
    <row r="233">
      <c r="A233" s="6" t="inlineStr">
        <is>
          <t>SHP-1232</t>
        </is>
      </c>
      <c r="B233" s="6" t="inlineStr">
        <is>
          <t>2026-01-24</t>
        </is>
      </c>
      <c r="C233" s="6" t="inlineStr">
        <is>
          <t>2026-01-26</t>
        </is>
      </c>
      <c r="D233" s="7" t="inlineStr">
        <is>
          <t>Hub-South</t>
        </is>
      </c>
      <c r="E233" s="7" t="inlineStr">
        <is>
          <t>Pune</t>
        </is>
      </c>
      <c r="F233" s="7" t="inlineStr">
        <is>
          <t>SwiftLog</t>
        </is>
      </c>
      <c r="G233" s="7" t="inlineStr">
        <is>
          <t>Rail</t>
        </is>
      </c>
      <c r="H233" s="8" t="n">
        <v>1461</v>
      </c>
      <c r="I233" s="9" t="n">
        <v>28659.4</v>
      </c>
      <c r="J233" s="6" t="inlineStr">
        <is>
          <t>Delivered</t>
        </is>
      </c>
      <c r="K233" s="8" t="n">
        <v>7</v>
      </c>
      <c r="L233" s="8" t="n">
        <v>7</v>
      </c>
      <c r="M233" s="8">
        <f>C233-B233</f>
        <v/>
      </c>
      <c r="N233" s="9">
        <f>I233/H233</f>
        <v/>
      </c>
      <c r="O233" s="6">
        <f>IF(J233="Cancelled","N/A",IF(L233&lt;=K233,"On Time","Late"))</f>
        <v/>
      </c>
    </row>
    <row r="234">
      <c r="A234" s="2" t="inlineStr">
        <is>
          <t>SHP-1233</t>
        </is>
      </c>
      <c r="B234" s="2" t="inlineStr">
        <is>
          <t>2026-01-21</t>
        </is>
      </c>
      <c r="C234" s="2" t="inlineStr">
        <is>
          <t>2026-01-22</t>
        </is>
      </c>
      <c r="D234" s="3" t="inlineStr">
        <is>
          <t>Hub-East</t>
        </is>
      </c>
      <c r="E234" s="3" t="inlineStr">
        <is>
          <t>Chennai</t>
        </is>
      </c>
      <c r="F234" s="3" t="inlineStr">
        <is>
          <t>ApexCargo</t>
        </is>
      </c>
      <c r="G234" s="3" t="inlineStr">
        <is>
          <t>Ground</t>
        </is>
      </c>
      <c r="H234" s="4" t="n">
        <v>158</v>
      </c>
      <c r="I234" s="5" t="n">
        <v>4774.05</v>
      </c>
      <c r="J234" s="2" t="inlineStr">
        <is>
          <t>In Transit</t>
        </is>
      </c>
      <c r="K234" s="4" t="n">
        <v>5</v>
      </c>
      <c r="L234" s="4" t="n">
        <v>5</v>
      </c>
      <c r="M234" s="4">
        <f>C234-B234</f>
        <v/>
      </c>
      <c r="N234" s="5">
        <f>I234/H234</f>
        <v/>
      </c>
      <c r="O234" s="2">
        <f>IF(J234="Cancelled","N/A",IF(L234&lt;=K234,"On Time","Late"))</f>
        <v/>
      </c>
    </row>
    <row r="235">
      <c r="A235" s="6" t="inlineStr">
        <is>
          <t>SHP-1234</t>
        </is>
      </c>
      <c r="B235" s="6" t="inlineStr">
        <is>
          <t>2026-01-19</t>
        </is>
      </c>
      <c r="C235" s="6" t="inlineStr">
        <is>
          <t>2026-01-19</t>
        </is>
      </c>
      <c r="D235" s="7" t="inlineStr">
        <is>
          <t>Hub-West</t>
        </is>
      </c>
      <c r="E235" s="7" t="inlineStr">
        <is>
          <t>Hyderabad</t>
        </is>
      </c>
      <c r="F235" s="7" t="inlineStr">
        <is>
          <t>SwiftLog</t>
        </is>
      </c>
      <c r="G235" s="7" t="inlineStr">
        <is>
          <t>Air</t>
        </is>
      </c>
      <c r="H235" s="8" t="n">
        <v>72</v>
      </c>
      <c r="I235" s="9" t="n">
        <v>7378.24</v>
      </c>
      <c r="J235" s="6" t="inlineStr">
        <is>
          <t>Delivered</t>
        </is>
      </c>
      <c r="K235" s="8" t="n">
        <v>2</v>
      </c>
      <c r="L235" s="8" t="n">
        <v>2</v>
      </c>
      <c r="M235" s="8">
        <f>C235-B235</f>
        <v/>
      </c>
      <c r="N235" s="9">
        <f>I235/H235</f>
        <v/>
      </c>
      <c r="O235" s="6">
        <f>IF(J235="Cancelled","N/A",IF(L235&lt;=K235,"On Time","Late"))</f>
        <v/>
      </c>
    </row>
    <row r="236">
      <c r="A236" s="2" t="inlineStr">
        <is>
          <t>SHP-1235</t>
        </is>
      </c>
      <c r="B236" s="2" t="inlineStr">
        <is>
          <t>2026-02-11</t>
        </is>
      </c>
      <c r="C236" s="2" t="inlineStr">
        <is>
          <t>2026-02-12</t>
        </is>
      </c>
      <c r="D236" s="3" t="inlineStr">
        <is>
          <t>Hub-South</t>
        </is>
      </c>
      <c r="E236" s="3" t="inlineStr">
        <is>
          <t>Bangalore</t>
        </is>
      </c>
      <c r="F236" s="3" t="inlineStr">
        <is>
          <t>ApexCargo</t>
        </is>
      </c>
      <c r="G236" s="3" t="inlineStr">
        <is>
          <t>Air</t>
        </is>
      </c>
      <c r="H236" s="4" t="n">
        <v>53</v>
      </c>
      <c r="I236" s="5" t="n">
        <v>4764.62</v>
      </c>
      <c r="J236" s="2" t="inlineStr">
        <is>
          <t>Delivered</t>
        </is>
      </c>
      <c r="K236" s="4" t="n">
        <v>2</v>
      </c>
      <c r="L236" s="4" t="n">
        <v>3</v>
      </c>
      <c r="M236" s="4">
        <f>C236-B236</f>
        <v/>
      </c>
      <c r="N236" s="5">
        <f>I236/H236</f>
        <v/>
      </c>
      <c r="O236" s="2">
        <f>IF(J236="Cancelled","N/A",IF(L236&lt;=K236,"On Time","Late"))</f>
        <v/>
      </c>
    </row>
    <row r="237">
      <c r="A237" s="6" t="inlineStr">
        <is>
          <t>SHP-1236</t>
        </is>
      </c>
      <c r="B237" s="6" t="inlineStr">
        <is>
          <t>2026-02-11</t>
        </is>
      </c>
      <c r="C237" s="6" t="inlineStr">
        <is>
          <t>2026-02-11</t>
        </is>
      </c>
      <c r="D237" s="7" t="inlineStr">
        <is>
          <t>Hub-East</t>
        </is>
      </c>
      <c r="E237" s="7" t="inlineStr">
        <is>
          <t>Delhi</t>
        </is>
      </c>
      <c r="F237" s="7" t="inlineStr">
        <is>
          <t>ApexCargo</t>
        </is>
      </c>
      <c r="G237" s="7" t="inlineStr">
        <is>
          <t>Ground</t>
        </is>
      </c>
      <c r="H237" s="8" t="n">
        <v>541</v>
      </c>
      <c r="I237" s="9" t="n">
        <v>13594.07</v>
      </c>
      <c r="J237" s="6" t="inlineStr">
        <is>
          <t>Delivered</t>
        </is>
      </c>
      <c r="K237" s="8" t="n">
        <v>3</v>
      </c>
      <c r="L237" s="8" t="n">
        <v>2</v>
      </c>
      <c r="M237" s="8">
        <f>C237-B237</f>
        <v/>
      </c>
      <c r="N237" s="9">
        <f>I237/H237</f>
        <v/>
      </c>
      <c r="O237" s="6">
        <f>IF(J237="Cancelled","N/A",IF(L237&lt;=K237,"On Time","Late"))</f>
        <v/>
      </c>
    </row>
    <row r="238">
      <c r="A238" s="2" t="inlineStr">
        <is>
          <t>SHP-1237</t>
        </is>
      </c>
      <c r="B238" s="2" t="inlineStr">
        <is>
          <t>2026-02-15</t>
        </is>
      </c>
      <c r="C238" s="2" t="inlineStr">
        <is>
          <t>2026-02-15</t>
        </is>
      </c>
      <c r="D238" s="3" t="inlineStr">
        <is>
          <t>Hub-East</t>
        </is>
      </c>
      <c r="E238" s="3" t="inlineStr">
        <is>
          <t>Chennai</t>
        </is>
      </c>
      <c r="F238" s="3" t="inlineStr">
        <is>
          <t>ApexCargo</t>
        </is>
      </c>
      <c r="G238" s="3" t="inlineStr">
        <is>
          <t>Air</t>
        </is>
      </c>
      <c r="H238" s="4" t="n">
        <v>105</v>
      </c>
      <c r="I238" s="5" t="n">
        <v>9147.15</v>
      </c>
      <c r="J238" s="2" t="inlineStr">
        <is>
          <t>Cancelled</t>
        </is>
      </c>
      <c r="K238" s="4" t="n">
        <v>2</v>
      </c>
      <c r="L238" s="4" t="n">
        <v>0</v>
      </c>
      <c r="M238" s="4">
        <f>C238-B238</f>
        <v/>
      </c>
      <c r="N238" s="5">
        <f>I238/H238</f>
        <v/>
      </c>
      <c r="O238" s="2">
        <f>IF(J238="Cancelled","N/A",IF(L238&lt;=K238,"On Time","Late"))</f>
        <v/>
      </c>
    </row>
    <row r="239">
      <c r="A239" s="6" t="inlineStr">
        <is>
          <t>SHP-1238</t>
        </is>
      </c>
      <c r="B239" s="6" t="inlineStr">
        <is>
          <t>2026-01-02</t>
        </is>
      </c>
      <c r="C239" s="6" t="inlineStr">
        <is>
          <t>2026-01-02</t>
        </is>
      </c>
      <c r="D239" s="7" t="inlineStr">
        <is>
          <t>Hub-South</t>
        </is>
      </c>
      <c r="E239" s="7" t="inlineStr">
        <is>
          <t>Mumbai</t>
        </is>
      </c>
      <c r="F239" s="7" t="inlineStr">
        <is>
          <t>SwiftLog</t>
        </is>
      </c>
      <c r="G239" s="7" t="inlineStr">
        <is>
          <t>Rail</t>
        </is>
      </c>
      <c r="H239" s="8" t="n">
        <v>1979</v>
      </c>
      <c r="I239" s="9" t="n">
        <v>29185.12</v>
      </c>
      <c r="J239" s="6" t="inlineStr">
        <is>
          <t>Delivered</t>
        </is>
      </c>
      <c r="K239" s="8" t="n">
        <v>7</v>
      </c>
      <c r="L239" s="8" t="n">
        <v>8</v>
      </c>
      <c r="M239" s="8">
        <f>C239-B239</f>
        <v/>
      </c>
      <c r="N239" s="9">
        <f>I239/H239</f>
        <v/>
      </c>
      <c r="O239" s="6">
        <f>IF(J239="Cancelled","N/A",IF(L239&lt;=K239,"On Time","Late"))</f>
        <v/>
      </c>
    </row>
    <row r="240">
      <c r="A240" s="2" t="inlineStr">
        <is>
          <t>SHP-1239</t>
        </is>
      </c>
      <c r="B240" s="2" t="inlineStr">
        <is>
          <t>2026-02-14</t>
        </is>
      </c>
      <c r="C240" s="2" t="inlineStr">
        <is>
          <t>2026-02-15</t>
        </is>
      </c>
      <c r="D240" s="3" t="inlineStr">
        <is>
          <t>Hub-West</t>
        </is>
      </c>
      <c r="E240" s="3" t="inlineStr">
        <is>
          <t>Delhi</t>
        </is>
      </c>
      <c r="F240" s="3" t="inlineStr">
        <is>
          <t>SwiftLog</t>
        </is>
      </c>
      <c r="G240" s="3" t="inlineStr">
        <is>
          <t>Rail</t>
        </is>
      </c>
      <c r="H240" s="4" t="n">
        <v>804</v>
      </c>
      <c r="I240" s="5" t="n">
        <v>11585.39</v>
      </c>
      <c r="J240" s="2" t="inlineStr">
        <is>
          <t>Delayed</t>
        </is>
      </c>
      <c r="K240" s="4" t="n">
        <v>7</v>
      </c>
      <c r="L240" s="4" t="n">
        <v>11</v>
      </c>
      <c r="M240" s="4">
        <f>C240-B240</f>
        <v/>
      </c>
      <c r="N240" s="5">
        <f>I240/H240</f>
        <v/>
      </c>
      <c r="O240" s="2">
        <f>IF(J240="Cancelled","N/A",IF(L240&lt;=K240,"On Time","Late"))</f>
        <v/>
      </c>
    </row>
    <row r="241">
      <c r="A241" s="6" t="inlineStr">
        <is>
          <t>SHP-1240</t>
        </is>
      </c>
      <c r="B241" s="6" t="inlineStr">
        <is>
          <t>2026-01-26</t>
        </is>
      </c>
      <c r="C241" s="6" t="inlineStr">
        <is>
          <t>2026-01-26</t>
        </is>
      </c>
      <c r="D241" s="7" t="inlineStr">
        <is>
          <t>Hub-North</t>
        </is>
      </c>
      <c r="E241" s="7" t="inlineStr">
        <is>
          <t>Ahmedabad</t>
        </is>
      </c>
      <c r="F241" s="7" t="inlineStr">
        <is>
          <t>MetroEx</t>
        </is>
      </c>
      <c r="G241" s="7" t="inlineStr">
        <is>
          <t>Rail</t>
        </is>
      </c>
      <c r="H241" s="8" t="n">
        <v>998</v>
      </c>
      <c r="I241" s="9" t="n">
        <v>21858.53</v>
      </c>
      <c r="J241" s="6" t="inlineStr">
        <is>
          <t>Delivered</t>
        </is>
      </c>
      <c r="K241" s="8" t="n">
        <v>6</v>
      </c>
      <c r="L241" s="8" t="n">
        <v>8</v>
      </c>
      <c r="M241" s="8">
        <f>C241-B241</f>
        <v/>
      </c>
      <c r="N241" s="9">
        <f>I241/H241</f>
        <v/>
      </c>
      <c r="O241" s="6">
        <f>IF(J241="Cancelled","N/A",IF(L241&lt;=K241,"On Time","Late"))</f>
        <v/>
      </c>
    </row>
    <row r="242">
      <c r="A242" s="2" t="inlineStr">
        <is>
          <t>SHP-1241</t>
        </is>
      </c>
      <c r="B242" s="2" t="inlineStr">
        <is>
          <t>2026-01-06</t>
        </is>
      </c>
      <c r="C242" s="2" t="inlineStr">
        <is>
          <t>2026-01-06</t>
        </is>
      </c>
      <c r="D242" s="3" t="inlineStr">
        <is>
          <t>Hub-East</t>
        </is>
      </c>
      <c r="E242" s="3" t="inlineStr">
        <is>
          <t>Ahmedabad</t>
        </is>
      </c>
      <c r="F242" s="3" t="inlineStr">
        <is>
          <t>MetroEx</t>
        </is>
      </c>
      <c r="G242" s="3" t="inlineStr">
        <is>
          <t>Air</t>
        </is>
      </c>
      <c r="H242" s="4" t="n">
        <v>131</v>
      </c>
      <c r="I242" s="5" t="n">
        <v>11392.29</v>
      </c>
      <c r="J242" s="2" t="inlineStr">
        <is>
          <t>Delivered</t>
        </is>
      </c>
      <c r="K242" s="4" t="n">
        <v>1</v>
      </c>
      <c r="L242" s="4" t="n">
        <v>1</v>
      </c>
      <c r="M242" s="4">
        <f>C242-B242</f>
        <v/>
      </c>
      <c r="N242" s="5">
        <f>I242/H242</f>
        <v/>
      </c>
      <c r="O242" s="2">
        <f>IF(J242="Cancelled","N/A",IF(L242&lt;=K242,"On Time","Late"))</f>
        <v/>
      </c>
    </row>
    <row r="243">
      <c r="A243" s="6" t="inlineStr">
        <is>
          <t>SHP-1242</t>
        </is>
      </c>
      <c r="B243" s="6" t="inlineStr">
        <is>
          <t>2026-02-01</t>
        </is>
      </c>
      <c r="C243" s="6" t="inlineStr">
        <is>
          <t>2026-02-02</t>
        </is>
      </c>
      <c r="D243" s="7" t="inlineStr">
        <is>
          <t>Hub-North</t>
        </is>
      </c>
      <c r="E243" s="7" t="inlineStr">
        <is>
          <t>Delhi</t>
        </is>
      </c>
      <c r="F243" s="7" t="inlineStr">
        <is>
          <t>ApexCargo</t>
        </is>
      </c>
      <c r="G243" s="7" t="inlineStr">
        <is>
          <t>Ground</t>
        </is>
      </c>
      <c r="H243" s="8" t="n">
        <v>267</v>
      </c>
      <c r="I243" s="9" t="n">
        <v>7803.97</v>
      </c>
      <c r="J243" s="6" t="inlineStr">
        <is>
          <t>Cancelled</t>
        </is>
      </c>
      <c r="K243" s="8" t="n">
        <v>5</v>
      </c>
      <c r="L243" s="8" t="n">
        <v>0</v>
      </c>
      <c r="M243" s="8">
        <f>C243-B243</f>
        <v/>
      </c>
      <c r="N243" s="9">
        <f>I243/H243</f>
        <v/>
      </c>
      <c r="O243" s="6">
        <f>IF(J243="Cancelled","N/A",IF(L243&lt;=K243,"On Time","Late"))</f>
        <v/>
      </c>
    </row>
    <row r="244">
      <c r="A244" s="2" t="inlineStr">
        <is>
          <t>SHP-1243</t>
        </is>
      </c>
      <c r="B244" s="2" t="inlineStr">
        <is>
          <t>2026-01-18</t>
        </is>
      </c>
      <c r="C244" s="2" t="inlineStr">
        <is>
          <t>2026-01-18</t>
        </is>
      </c>
      <c r="D244" s="3" t="inlineStr">
        <is>
          <t>Hub-East</t>
        </is>
      </c>
      <c r="E244" s="3" t="inlineStr">
        <is>
          <t>Kolkata</t>
        </is>
      </c>
      <c r="F244" s="3" t="inlineStr">
        <is>
          <t>ApexCargo</t>
        </is>
      </c>
      <c r="G244" s="3" t="inlineStr">
        <is>
          <t>Rail</t>
        </is>
      </c>
      <c r="H244" s="4" t="n">
        <v>1847</v>
      </c>
      <c r="I244" s="5" t="n">
        <v>22771.7</v>
      </c>
      <c r="J244" s="2" t="inlineStr">
        <is>
          <t>Delivered</t>
        </is>
      </c>
      <c r="K244" s="4" t="n">
        <v>7</v>
      </c>
      <c r="L244" s="4" t="n">
        <v>7</v>
      </c>
      <c r="M244" s="4">
        <f>C244-B244</f>
        <v/>
      </c>
      <c r="N244" s="5">
        <f>I244/H244</f>
        <v/>
      </c>
      <c r="O244" s="2">
        <f>IF(J244="Cancelled","N/A",IF(L244&lt;=K244,"On Time","Late"))</f>
        <v/>
      </c>
    </row>
    <row r="245">
      <c r="A245" s="6" t="inlineStr">
        <is>
          <t>SHP-1244</t>
        </is>
      </c>
      <c r="B245" s="6" t="inlineStr">
        <is>
          <t>2026-02-07</t>
        </is>
      </c>
      <c r="C245" s="6" t="inlineStr">
        <is>
          <t>2026-02-07</t>
        </is>
      </c>
      <c r="D245" s="7" t="inlineStr">
        <is>
          <t>Hub-South</t>
        </is>
      </c>
      <c r="E245" s="7" t="inlineStr">
        <is>
          <t>Delhi</t>
        </is>
      </c>
      <c r="F245" s="7" t="inlineStr">
        <is>
          <t>MetroEx</t>
        </is>
      </c>
      <c r="G245" s="7" t="inlineStr">
        <is>
          <t>Ground</t>
        </is>
      </c>
      <c r="H245" s="8" t="n">
        <v>438</v>
      </c>
      <c r="I245" s="9" t="n">
        <v>13056.54</v>
      </c>
      <c r="J245" s="6" t="inlineStr">
        <is>
          <t>Delayed</t>
        </is>
      </c>
      <c r="K245" s="8" t="n">
        <v>4</v>
      </c>
      <c r="L245" s="8" t="n">
        <v>9</v>
      </c>
      <c r="M245" s="8">
        <f>C245-B245</f>
        <v/>
      </c>
      <c r="N245" s="9">
        <f>I245/H245</f>
        <v/>
      </c>
      <c r="O245" s="6">
        <f>IF(J245="Cancelled","N/A",IF(L245&lt;=K245,"On Time","Late"))</f>
        <v/>
      </c>
    </row>
    <row r="246">
      <c r="A246" s="2" t="inlineStr">
        <is>
          <t>SHP-1245</t>
        </is>
      </c>
      <c r="B246" s="2" t="inlineStr">
        <is>
          <t>2026-01-09</t>
        </is>
      </c>
      <c r="C246" s="2" t="inlineStr">
        <is>
          <t>2026-01-09</t>
        </is>
      </c>
      <c r="D246" s="3" t="inlineStr">
        <is>
          <t>Hub-North</t>
        </is>
      </c>
      <c r="E246" s="3" t="inlineStr">
        <is>
          <t>Mumbai</t>
        </is>
      </c>
      <c r="F246" s="3" t="inlineStr">
        <is>
          <t>SwiftLog</t>
        </is>
      </c>
      <c r="G246" s="3" t="inlineStr">
        <is>
          <t>Air</t>
        </is>
      </c>
      <c r="H246" s="4" t="n">
        <v>69</v>
      </c>
      <c r="I246" s="5" t="n">
        <v>7890.4</v>
      </c>
      <c r="J246" s="2" t="inlineStr">
        <is>
          <t>In Transit</t>
        </is>
      </c>
      <c r="K246" s="4" t="n">
        <v>2</v>
      </c>
      <c r="L246" s="4" t="n">
        <v>2</v>
      </c>
      <c r="M246" s="4">
        <f>C246-B246</f>
        <v/>
      </c>
      <c r="N246" s="5">
        <f>I246/H246</f>
        <v/>
      </c>
      <c r="O246" s="2">
        <f>IF(J246="Cancelled","N/A",IF(L246&lt;=K246,"On Time","Late"))</f>
        <v/>
      </c>
    </row>
    <row r="247">
      <c r="A247" s="6" t="inlineStr">
        <is>
          <t>SHP-1246</t>
        </is>
      </c>
      <c r="B247" s="6" t="inlineStr">
        <is>
          <t>2026-01-21</t>
        </is>
      </c>
      <c r="C247" s="6" t="inlineStr">
        <is>
          <t>2026-01-21</t>
        </is>
      </c>
      <c r="D247" s="7" t="inlineStr">
        <is>
          <t>Hub-North</t>
        </is>
      </c>
      <c r="E247" s="7" t="inlineStr">
        <is>
          <t>Pune</t>
        </is>
      </c>
      <c r="F247" s="7" t="inlineStr">
        <is>
          <t>MetroEx</t>
        </is>
      </c>
      <c r="G247" s="7" t="inlineStr">
        <is>
          <t>Ground</t>
        </is>
      </c>
      <c r="H247" s="8" t="n">
        <v>332</v>
      </c>
      <c r="I247" s="9" t="n">
        <v>11972.17</v>
      </c>
      <c r="J247" s="6" t="inlineStr">
        <is>
          <t>In Transit</t>
        </is>
      </c>
      <c r="K247" s="8" t="n">
        <v>4</v>
      </c>
      <c r="L247" s="8" t="n">
        <v>4</v>
      </c>
      <c r="M247" s="8">
        <f>C247-B247</f>
        <v/>
      </c>
      <c r="N247" s="9">
        <f>I247/H247</f>
        <v/>
      </c>
      <c r="O247" s="6">
        <f>IF(J247="Cancelled","N/A",IF(L247&lt;=K247,"On Time","Late"))</f>
        <v/>
      </c>
    </row>
    <row r="248">
      <c r="A248" s="2" t="inlineStr">
        <is>
          <t>SHP-1247</t>
        </is>
      </c>
      <c r="B248" s="2" t="inlineStr">
        <is>
          <t>2026-01-12</t>
        </is>
      </c>
      <c r="C248" s="2" t="inlineStr">
        <is>
          <t>2026-01-14</t>
        </is>
      </c>
      <c r="D248" s="3" t="inlineStr">
        <is>
          <t>Hub-South</t>
        </is>
      </c>
      <c r="E248" s="3" t="inlineStr">
        <is>
          <t>Delhi</t>
        </is>
      </c>
      <c r="F248" s="3" t="inlineStr">
        <is>
          <t>ApexCargo</t>
        </is>
      </c>
      <c r="G248" s="3" t="inlineStr">
        <is>
          <t>Air</t>
        </is>
      </c>
      <c r="H248" s="4" t="n">
        <v>73</v>
      </c>
      <c r="I248" s="5" t="n">
        <v>8026.99</v>
      </c>
      <c r="J248" s="2" t="inlineStr">
        <is>
          <t>Delivered</t>
        </is>
      </c>
      <c r="K248" s="4" t="n">
        <v>1</v>
      </c>
      <c r="L248" s="4" t="n">
        <v>1</v>
      </c>
      <c r="M248" s="4">
        <f>C248-B248</f>
        <v/>
      </c>
      <c r="N248" s="5">
        <f>I248/H248</f>
        <v/>
      </c>
      <c r="O248" s="2">
        <f>IF(J248="Cancelled","N/A",IF(L248&lt;=K248,"On Time","Late"))</f>
        <v/>
      </c>
    </row>
    <row r="249">
      <c r="A249" s="6" t="inlineStr">
        <is>
          <t>SHP-1248</t>
        </is>
      </c>
      <c r="B249" s="6" t="inlineStr">
        <is>
          <t>2026-01-25</t>
        </is>
      </c>
      <c r="C249" s="6" t="inlineStr">
        <is>
          <t>2026-01-25</t>
        </is>
      </c>
      <c r="D249" s="7" t="inlineStr">
        <is>
          <t>Hub-South</t>
        </is>
      </c>
      <c r="E249" s="7" t="inlineStr">
        <is>
          <t>Hyderabad</t>
        </is>
      </c>
      <c r="F249" s="7" t="inlineStr">
        <is>
          <t>MetroEx</t>
        </is>
      </c>
      <c r="G249" s="7" t="inlineStr">
        <is>
          <t>Ground</t>
        </is>
      </c>
      <c r="H249" s="8" t="n">
        <v>196</v>
      </c>
      <c r="I249" s="9" t="n">
        <v>4920.37</v>
      </c>
      <c r="J249" s="6" t="inlineStr">
        <is>
          <t>Cancelled</t>
        </is>
      </c>
      <c r="K249" s="8" t="n">
        <v>4</v>
      </c>
      <c r="L249" s="8" t="n">
        <v>0</v>
      </c>
      <c r="M249" s="8">
        <f>C249-B249</f>
        <v/>
      </c>
      <c r="N249" s="9">
        <f>I249/H249</f>
        <v/>
      </c>
      <c r="O249" s="6">
        <f>IF(J249="Cancelled","N/A",IF(L249&lt;=K249,"On Time","Late"))</f>
        <v/>
      </c>
    </row>
    <row r="250">
      <c r="A250" s="2" t="inlineStr">
        <is>
          <t>SHP-1249</t>
        </is>
      </c>
      <c r="B250" s="2" t="inlineStr">
        <is>
          <t>2026-01-24</t>
        </is>
      </c>
      <c r="C250" s="2" t="inlineStr">
        <is>
          <t>2026-01-25</t>
        </is>
      </c>
      <c r="D250" s="3" t="inlineStr">
        <is>
          <t>Hub-East</t>
        </is>
      </c>
      <c r="E250" s="3" t="inlineStr">
        <is>
          <t>Bangalore</t>
        </is>
      </c>
      <c r="F250" s="3" t="inlineStr">
        <is>
          <t>SwiftLog</t>
        </is>
      </c>
      <c r="G250" s="3" t="inlineStr">
        <is>
          <t>Ground</t>
        </is>
      </c>
      <c r="H250" s="4" t="n">
        <v>370</v>
      </c>
      <c r="I250" s="5" t="n">
        <v>12571.44</v>
      </c>
      <c r="J250" s="2" t="inlineStr">
        <is>
          <t>In Transit</t>
        </is>
      </c>
      <c r="K250" s="4" t="n">
        <v>5</v>
      </c>
      <c r="L250" s="4" t="n">
        <v>5</v>
      </c>
      <c r="M250" s="4">
        <f>C250-B250</f>
        <v/>
      </c>
      <c r="N250" s="5">
        <f>I250/H250</f>
        <v/>
      </c>
      <c r="O250" s="2">
        <f>IF(J250="Cancelled","N/A",IF(L250&lt;=K250,"On Time","Late"))</f>
        <v/>
      </c>
    </row>
    <row r="251">
      <c r="A251" s="6" t="inlineStr">
        <is>
          <t>SHP-1250</t>
        </is>
      </c>
      <c r="B251" s="6" t="inlineStr">
        <is>
          <t>2026-01-07</t>
        </is>
      </c>
      <c r="C251" s="6" t="inlineStr">
        <is>
          <t>2026-01-07</t>
        </is>
      </c>
      <c r="D251" s="7" t="inlineStr">
        <is>
          <t>Hub-East</t>
        </is>
      </c>
      <c r="E251" s="7" t="inlineStr">
        <is>
          <t>Hyderabad</t>
        </is>
      </c>
      <c r="F251" s="7" t="inlineStr">
        <is>
          <t>ApexCargo</t>
        </is>
      </c>
      <c r="G251" s="7" t="inlineStr">
        <is>
          <t>Ground</t>
        </is>
      </c>
      <c r="H251" s="8" t="n">
        <v>455</v>
      </c>
      <c r="I251" s="9" t="n">
        <v>16817.2</v>
      </c>
      <c r="J251" s="6" t="inlineStr">
        <is>
          <t>In Transit</t>
        </is>
      </c>
      <c r="K251" s="8" t="n">
        <v>4</v>
      </c>
      <c r="L251" s="8" t="n">
        <v>4</v>
      </c>
      <c r="M251" s="8">
        <f>C251-B251</f>
        <v/>
      </c>
      <c r="N251" s="9">
        <f>I251/H251</f>
        <v/>
      </c>
      <c r="O251" s="6">
        <f>IF(J251="Cancelled","N/A",IF(L251&lt;=K251,"On Time","Late"))</f>
        <v/>
      </c>
    </row>
    <row r="252">
      <c r="A252" s="2" t="inlineStr">
        <is>
          <t>SHP-1251</t>
        </is>
      </c>
      <c r="B252" s="2" t="inlineStr">
        <is>
          <t>2026-01-01</t>
        </is>
      </c>
      <c r="C252" s="2" t="inlineStr">
        <is>
          <t>2026-01-02</t>
        </is>
      </c>
      <c r="D252" s="3" t="inlineStr">
        <is>
          <t>Hub-South</t>
        </is>
      </c>
      <c r="E252" s="3" t="inlineStr">
        <is>
          <t>Ahmedabad</t>
        </is>
      </c>
      <c r="F252" s="3" t="inlineStr">
        <is>
          <t>SwiftLog</t>
        </is>
      </c>
      <c r="G252" s="3" t="inlineStr">
        <is>
          <t>Rail</t>
        </is>
      </c>
      <c r="H252" s="4" t="n">
        <v>1645</v>
      </c>
      <c r="I252" s="5" t="n">
        <v>34630.66</v>
      </c>
      <c r="J252" s="2" t="inlineStr">
        <is>
          <t>Delivered</t>
        </is>
      </c>
      <c r="K252" s="4" t="n">
        <v>6</v>
      </c>
      <c r="L252" s="4" t="n">
        <v>8</v>
      </c>
      <c r="M252" s="4">
        <f>C252-B252</f>
        <v/>
      </c>
      <c r="N252" s="5">
        <f>I252/H252</f>
        <v/>
      </c>
      <c r="O252" s="2">
        <f>IF(J252="Cancelled","N/A",IF(L252&lt;=K252,"On Time","Late"))</f>
        <v/>
      </c>
    </row>
    <row r="253">
      <c r="A253" s="6" t="inlineStr">
        <is>
          <t>SHP-1252</t>
        </is>
      </c>
      <c r="B253" s="6" t="inlineStr">
        <is>
          <t>2026-01-25</t>
        </is>
      </c>
      <c r="C253" s="6" t="inlineStr">
        <is>
          <t>2026-01-25</t>
        </is>
      </c>
      <c r="D253" s="7" t="inlineStr">
        <is>
          <t>Hub-West</t>
        </is>
      </c>
      <c r="E253" s="7" t="inlineStr">
        <is>
          <t>Kolkata</t>
        </is>
      </c>
      <c r="F253" s="7" t="inlineStr">
        <is>
          <t>MetroEx</t>
        </is>
      </c>
      <c r="G253" s="7" t="inlineStr">
        <is>
          <t>Air</t>
        </is>
      </c>
      <c r="H253" s="8" t="n">
        <v>136</v>
      </c>
      <c r="I253" s="9" t="n">
        <v>12254.65</v>
      </c>
      <c r="J253" s="6" t="inlineStr">
        <is>
          <t>In Transit</t>
        </is>
      </c>
      <c r="K253" s="8" t="n">
        <v>1</v>
      </c>
      <c r="L253" s="8" t="n">
        <v>1</v>
      </c>
      <c r="M253" s="8">
        <f>C253-B253</f>
        <v/>
      </c>
      <c r="N253" s="9">
        <f>I253/H253</f>
        <v/>
      </c>
      <c r="O253" s="6">
        <f>IF(J253="Cancelled","N/A",IF(L253&lt;=K253,"On Time","Late"))</f>
        <v/>
      </c>
    </row>
    <row r="254">
      <c r="A254" s="2" t="inlineStr">
        <is>
          <t>SHP-1253</t>
        </is>
      </c>
      <c r="B254" s="2" t="inlineStr">
        <is>
          <t>2026-01-18</t>
        </is>
      </c>
      <c r="C254" s="2" t="inlineStr">
        <is>
          <t>2026-01-19</t>
        </is>
      </c>
      <c r="D254" s="3" t="inlineStr">
        <is>
          <t>Hub-North</t>
        </is>
      </c>
      <c r="E254" s="3" t="inlineStr">
        <is>
          <t>Pune</t>
        </is>
      </c>
      <c r="F254" s="3" t="inlineStr">
        <is>
          <t>SwiftLog</t>
        </is>
      </c>
      <c r="G254" s="3" t="inlineStr">
        <is>
          <t>Air</t>
        </is>
      </c>
      <c r="H254" s="4" t="n">
        <v>74</v>
      </c>
      <c r="I254" s="5" t="n">
        <v>8735.540000000001</v>
      </c>
      <c r="J254" s="2" t="inlineStr">
        <is>
          <t>Delivered</t>
        </is>
      </c>
      <c r="K254" s="4" t="n">
        <v>2</v>
      </c>
      <c r="L254" s="4" t="n">
        <v>2</v>
      </c>
      <c r="M254" s="4">
        <f>C254-B254</f>
        <v/>
      </c>
      <c r="N254" s="5">
        <f>I254/H254</f>
        <v/>
      </c>
      <c r="O254" s="2">
        <f>IF(J254="Cancelled","N/A",IF(L254&lt;=K254,"On Time","Late"))</f>
        <v/>
      </c>
    </row>
    <row r="255">
      <c r="A255" s="6" t="inlineStr">
        <is>
          <t>SHP-1254</t>
        </is>
      </c>
      <c r="B255" s="6" t="inlineStr">
        <is>
          <t>2026-01-07</t>
        </is>
      </c>
      <c r="C255" s="6" t="inlineStr">
        <is>
          <t>2026-01-07</t>
        </is>
      </c>
      <c r="D255" s="7" t="inlineStr">
        <is>
          <t>Hub-North</t>
        </is>
      </c>
      <c r="E255" s="7" t="inlineStr">
        <is>
          <t>Mumbai</t>
        </is>
      </c>
      <c r="F255" s="7" t="inlineStr">
        <is>
          <t>MetroEx</t>
        </is>
      </c>
      <c r="G255" s="7" t="inlineStr">
        <is>
          <t>Air</t>
        </is>
      </c>
      <c r="H255" s="8" t="n">
        <v>107</v>
      </c>
      <c r="I255" s="9" t="n">
        <v>12106.27</v>
      </c>
      <c r="J255" s="6" t="inlineStr">
        <is>
          <t>Cancelled</t>
        </is>
      </c>
      <c r="K255" s="8" t="n">
        <v>2</v>
      </c>
      <c r="L255" s="8" t="n">
        <v>0</v>
      </c>
      <c r="M255" s="8">
        <f>C255-B255</f>
        <v/>
      </c>
      <c r="N255" s="9">
        <f>I255/H255</f>
        <v/>
      </c>
      <c r="O255" s="6">
        <f>IF(J255="Cancelled","N/A",IF(L255&lt;=K255,"On Time","Late"))</f>
        <v/>
      </c>
    </row>
    <row r="256">
      <c r="A256" s="2" t="inlineStr">
        <is>
          <t>SHP-1255</t>
        </is>
      </c>
      <c r="B256" s="2" t="inlineStr">
        <is>
          <t>2026-01-22</t>
        </is>
      </c>
      <c r="C256" s="2" t="inlineStr">
        <is>
          <t>2026-01-23</t>
        </is>
      </c>
      <c r="D256" s="3" t="inlineStr">
        <is>
          <t>Hub-West</t>
        </is>
      </c>
      <c r="E256" s="3" t="inlineStr">
        <is>
          <t>Kolkata</t>
        </is>
      </c>
      <c r="F256" s="3" t="inlineStr">
        <is>
          <t>MetroEx</t>
        </is>
      </c>
      <c r="G256" s="3" t="inlineStr">
        <is>
          <t>Rail</t>
        </is>
      </c>
      <c r="H256" s="4" t="n">
        <v>1923</v>
      </c>
      <c r="I256" s="5" t="n">
        <v>26938.37</v>
      </c>
      <c r="J256" s="2" t="inlineStr">
        <is>
          <t>Delivered</t>
        </is>
      </c>
      <c r="K256" s="4" t="n">
        <v>7</v>
      </c>
      <c r="L256" s="4" t="n">
        <v>7</v>
      </c>
      <c r="M256" s="4">
        <f>C256-B256</f>
        <v/>
      </c>
      <c r="N256" s="5">
        <f>I256/H256</f>
        <v/>
      </c>
      <c r="O256" s="2">
        <f>IF(J256="Cancelled","N/A",IF(L256&lt;=K256,"On Time","Late"))</f>
        <v/>
      </c>
    </row>
    <row r="257">
      <c r="A257" s="6" t="inlineStr">
        <is>
          <t>SHP-1256</t>
        </is>
      </c>
      <c r="B257" s="6" t="inlineStr">
        <is>
          <t>2026-01-21</t>
        </is>
      </c>
      <c r="C257" s="6" t="inlineStr">
        <is>
          <t>2026-01-22</t>
        </is>
      </c>
      <c r="D257" s="7" t="inlineStr">
        <is>
          <t>Hub-South</t>
        </is>
      </c>
      <c r="E257" s="7" t="inlineStr">
        <is>
          <t>Chennai</t>
        </is>
      </c>
      <c r="F257" s="7" t="inlineStr">
        <is>
          <t>MetroEx</t>
        </is>
      </c>
      <c r="G257" s="7" t="inlineStr">
        <is>
          <t>Air</t>
        </is>
      </c>
      <c r="H257" s="8" t="n">
        <v>81</v>
      </c>
      <c r="I257" s="9" t="n">
        <v>9199.76</v>
      </c>
      <c r="J257" s="6" t="inlineStr">
        <is>
          <t>Delayed</t>
        </is>
      </c>
      <c r="K257" s="8" t="n">
        <v>2</v>
      </c>
      <c r="L257" s="8" t="n">
        <v>4</v>
      </c>
      <c r="M257" s="8">
        <f>C257-B257</f>
        <v/>
      </c>
      <c r="N257" s="9">
        <f>I257/H257</f>
        <v/>
      </c>
      <c r="O257" s="6">
        <f>IF(J257="Cancelled","N/A",IF(L257&lt;=K257,"On Time","Late"))</f>
        <v/>
      </c>
    </row>
    <row r="258">
      <c r="A258" s="2" t="inlineStr">
        <is>
          <t>SHP-1257</t>
        </is>
      </c>
      <c r="B258" s="2" t="inlineStr">
        <is>
          <t>2026-02-06</t>
        </is>
      </c>
      <c r="C258" s="2" t="inlineStr">
        <is>
          <t>2026-02-06</t>
        </is>
      </c>
      <c r="D258" s="3" t="inlineStr">
        <is>
          <t>Hub-West</t>
        </is>
      </c>
      <c r="E258" s="3" t="inlineStr">
        <is>
          <t>Mumbai</t>
        </is>
      </c>
      <c r="F258" s="3" t="inlineStr">
        <is>
          <t>ApexCargo</t>
        </is>
      </c>
      <c r="G258" s="3" t="inlineStr">
        <is>
          <t>Air</t>
        </is>
      </c>
      <c r="H258" s="4" t="n">
        <v>63</v>
      </c>
      <c r="I258" s="5" t="n">
        <v>6321.79</v>
      </c>
      <c r="J258" s="2" t="inlineStr">
        <is>
          <t>Delivered</t>
        </is>
      </c>
      <c r="K258" s="4" t="n">
        <v>2</v>
      </c>
      <c r="L258" s="4" t="n">
        <v>2</v>
      </c>
      <c r="M258" s="4">
        <f>C258-B258</f>
        <v/>
      </c>
      <c r="N258" s="5">
        <f>I258/H258</f>
        <v/>
      </c>
      <c r="O258" s="2">
        <f>IF(J258="Cancelled","N/A",IF(L258&lt;=K258,"On Time","Late"))</f>
        <v/>
      </c>
    </row>
    <row r="259">
      <c r="A259" s="6" t="inlineStr">
        <is>
          <t>SHP-1258</t>
        </is>
      </c>
      <c r="B259" s="6" t="inlineStr">
        <is>
          <t>2026-02-13</t>
        </is>
      </c>
      <c r="C259" s="6" t="inlineStr">
        <is>
          <t>2026-02-14</t>
        </is>
      </c>
      <c r="D259" s="7" t="inlineStr">
        <is>
          <t>Hub-West</t>
        </is>
      </c>
      <c r="E259" s="7" t="inlineStr">
        <is>
          <t>Kolkata</t>
        </is>
      </c>
      <c r="F259" s="7" t="inlineStr">
        <is>
          <t>SwiftLog</t>
        </is>
      </c>
      <c r="G259" s="7" t="inlineStr">
        <is>
          <t>Air</t>
        </is>
      </c>
      <c r="H259" s="8" t="n">
        <v>49</v>
      </c>
      <c r="I259" s="9" t="n">
        <v>5391.63</v>
      </c>
      <c r="J259" s="6" t="inlineStr">
        <is>
          <t>Delivered</t>
        </is>
      </c>
      <c r="K259" s="8" t="n">
        <v>2</v>
      </c>
      <c r="L259" s="8" t="n">
        <v>2</v>
      </c>
      <c r="M259" s="8">
        <f>C259-B259</f>
        <v/>
      </c>
      <c r="N259" s="9">
        <f>I259/H259</f>
        <v/>
      </c>
      <c r="O259" s="6">
        <f>IF(J259="Cancelled","N/A",IF(L259&lt;=K259,"On Time","Late"))</f>
        <v/>
      </c>
    </row>
    <row r="260">
      <c r="A260" s="2" t="inlineStr">
        <is>
          <t>SHP-1259</t>
        </is>
      </c>
      <c r="B260" s="2" t="inlineStr">
        <is>
          <t>2026-02-08</t>
        </is>
      </c>
      <c r="C260" s="2" t="inlineStr">
        <is>
          <t>2026-02-09</t>
        </is>
      </c>
      <c r="D260" s="3" t="inlineStr">
        <is>
          <t>Hub-South</t>
        </is>
      </c>
      <c r="E260" s="3" t="inlineStr">
        <is>
          <t>Ahmedabad</t>
        </is>
      </c>
      <c r="F260" s="3" t="inlineStr">
        <is>
          <t>ApexCargo</t>
        </is>
      </c>
      <c r="G260" s="3" t="inlineStr">
        <is>
          <t>Ground</t>
        </is>
      </c>
      <c r="H260" s="4" t="n">
        <v>554</v>
      </c>
      <c r="I260" s="5" t="n">
        <v>24580.18</v>
      </c>
      <c r="J260" s="2" t="inlineStr">
        <is>
          <t>Delivered</t>
        </is>
      </c>
      <c r="K260" s="4" t="n">
        <v>5</v>
      </c>
      <c r="L260" s="4" t="n">
        <v>4</v>
      </c>
      <c r="M260" s="4">
        <f>C260-B260</f>
        <v/>
      </c>
      <c r="N260" s="5">
        <f>I260/H260</f>
        <v/>
      </c>
      <c r="O260" s="2">
        <f>IF(J260="Cancelled","N/A",IF(L260&lt;=K260,"On Time","Late"))</f>
        <v/>
      </c>
    </row>
    <row r="261">
      <c r="A261" s="6" t="inlineStr">
        <is>
          <t>SHP-1260</t>
        </is>
      </c>
      <c r="B261" s="6" t="inlineStr">
        <is>
          <t>2026-01-16</t>
        </is>
      </c>
      <c r="C261" s="6" t="inlineStr">
        <is>
          <t>2026-01-17</t>
        </is>
      </c>
      <c r="D261" s="7" t="inlineStr">
        <is>
          <t>Hub-West</t>
        </is>
      </c>
      <c r="E261" s="7" t="inlineStr">
        <is>
          <t>Mumbai</t>
        </is>
      </c>
      <c r="F261" s="7" t="inlineStr">
        <is>
          <t>ApexCargo</t>
        </is>
      </c>
      <c r="G261" s="7" t="inlineStr">
        <is>
          <t>Rail</t>
        </is>
      </c>
      <c r="H261" s="8" t="n">
        <v>1887</v>
      </c>
      <c r="I261" s="9" t="n">
        <v>34848.05</v>
      </c>
      <c r="J261" s="6" t="inlineStr">
        <is>
          <t>In Transit</t>
        </is>
      </c>
      <c r="K261" s="8" t="n">
        <v>7</v>
      </c>
      <c r="L261" s="8" t="n">
        <v>7</v>
      </c>
      <c r="M261" s="8">
        <f>C261-B261</f>
        <v/>
      </c>
      <c r="N261" s="9">
        <f>I261/H261</f>
        <v/>
      </c>
      <c r="O261" s="6">
        <f>IF(J261="Cancelled","N/A",IF(L261&lt;=K261,"On Time","Late"))</f>
        <v/>
      </c>
    </row>
    <row r="262">
      <c r="A262" s="2" t="inlineStr">
        <is>
          <t>SHP-1261</t>
        </is>
      </c>
      <c r="B262" s="2" t="inlineStr">
        <is>
          <t>2026-01-07</t>
        </is>
      </c>
      <c r="C262" s="2" t="inlineStr">
        <is>
          <t>2026-01-07</t>
        </is>
      </c>
      <c r="D262" s="3" t="inlineStr">
        <is>
          <t>Hub-East</t>
        </is>
      </c>
      <c r="E262" s="3" t="inlineStr">
        <is>
          <t>Kolkata</t>
        </is>
      </c>
      <c r="F262" s="3" t="inlineStr">
        <is>
          <t>SwiftLog</t>
        </is>
      </c>
      <c r="G262" s="3" t="inlineStr">
        <is>
          <t>Rail</t>
        </is>
      </c>
      <c r="H262" s="4" t="n">
        <v>1562</v>
      </c>
      <c r="I262" s="5" t="n">
        <v>27459.86</v>
      </c>
      <c r="J262" s="2" t="inlineStr">
        <is>
          <t>Cancelled</t>
        </is>
      </c>
      <c r="K262" s="4" t="n">
        <v>6</v>
      </c>
      <c r="L262" s="4" t="n">
        <v>0</v>
      </c>
      <c r="M262" s="4">
        <f>C262-B262</f>
        <v/>
      </c>
      <c r="N262" s="5">
        <f>I262/H262</f>
        <v/>
      </c>
      <c r="O262" s="2">
        <f>IF(J262="Cancelled","N/A",IF(L262&lt;=K262,"On Time","Late"))</f>
        <v/>
      </c>
    </row>
    <row r="263">
      <c r="A263" s="6" t="inlineStr">
        <is>
          <t>SHP-1262</t>
        </is>
      </c>
      <c r="B263" s="6" t="inlineStr">
        <is>
          <t>2026-01-24</t>
        </is>
      </c>
      <c r="C263" s="6" t="inlineStr">
        <is>
          <t>2026-01-25</t>
        </is>
      </c>
      <c r="D263" s="7" t="inlineStr">
        <is>
          <t>Hub-South</t>
        </is>
      </c>
      <c r="E263" s="7" t="inlineStr">
        <is>
          <t>Bangalore</t>
        </is>
      </c>
      <c r="F263" s="7" t="inlineStr">
        <is>
          <t>MetroEx</t>
        </is>
      </c>
      <c r="G263" s="7" t="inlineStr">
        <is>
          <t>Ground</t>
        </is>
      </c>
      <c r="H263" s="8" t="n">
        <v>397</v>
      </c>
      <c r="I263" s="9" t="n">
        <v>10755.12</v>
      </c>
      <c r="J263" s="6" t="inlineStr">
        <is>
          <t>Delivered</t>
        </is>
      </c>
      <c r="K263" s="8" t="n">
        <v>4</v>
      </c>
      <c r="L263" s="8" t="n">
        <v>3</v>
      </c>
      <c r="M263" s="8">
        <f>C263-B263</f>
        <v/>
      </c>
      <c r="N263" s="9">
        <f>I263/H263</f>
        <v/>
      </c>
      <c r="O263" s="6">
        <f>IF(J263="Cancelled","N/A",IF(L263&lt;=K263,"On Time","Late"))</f>
        <v/>
      </c>
    </row>
    <row r="264">
      <c r="A264" s="2" t="inlineStr">
        <is>
          <t>SHP-1263</t>
        </is>
      </c>
      <c r="B264" s="2" t="inlineStr">
        <is>
          <t>2026-01-10</t>
        </is>
      </c>
      <c r="C264" s="2" t="inlineStr">
        <is>
          <t>2026-01-11</t>
        </is>
      </c>
      <c r="D264" s="3" t="inlineStr">
        <is>
          <t>Hub-North</t>
        </is>
      </c>
      <c r="E264" s="3" t="inlineStr">
        <is>
          <t>Hyderabad</t>
        </is>
      </c>
      <c r="F264" s="3" t="inlineStr">
        <is>
          <t>MetroEx</t>
        </is>
      </c>
      <c r="G264" s="3" t="inlineStr">
        <is>
          <t>Ground</t>
        </is>
      </c>
      <c r="H264" s="4" t="n">
        <v>416</v>
      </c>
      <c r="I264" s="5" t="n">
        <v>14417.94</v>
      </c>
      <c r="J264" s="2" t="inlineStr">
        <is>
          <t>Delivered</t>
        </is>
      </c>
      <c r="K264" s="4" t="n">
        <v>4</v>
      </c>
      <c r="L264" s="4" t="n">
        <v>4</v>
      </c>
      <c r="M264" s="4">
        <f>C264-B264</f>
        <v/>
      </c>
      <c r="N264" s="5">
        <f>I264/H264</f>
        <v/>
      </c>
      <c r="O264" s="2">
        <f>IF(J264="Cancelled","N/A",IF(L264&lt;=K264,"On Time","Late"))</f>
        <v/>
      </c>
    </row>
    <row r="265">
      <c r="A265" s="6" t="inlineStr">
        <is>
          <t>SHP-1264</t>
        </is>
      </c>
      <c r="B265" s="6" t="inlineStr">
        <is>
          <t>2026-02-14</t>
        </is>
      </c>
      <c r="C265" s="6" t="inlineStr">
        <is>
          <t>2026-02-15</t>
        </is>
      </c>
      <c r="D265" s="7" t="inlineStr">
        <is>
          <t>Hub-North</t>
        </is>
      </c>
      <c r="E265" s="7" t="inlineStr">
        <is>
          <t>Delhi</t>
        </is>
      </c>
      <c r="F265" s="7" t="inlineStr">
        <is>
          <t>MetroEx</t>
        </is>
      </c>
      <c r="G265" s="7" t="inlineStr">
        <is>
          <t>Ground</t>
        </is>
      </c>
      <c r="H265" s="8" t="n">
        <v>564</v>
      </c>
      <c r="I265" s="9" t="n">
        <v>22117.59</v>
      </c>
      <c r="J265" s="6" t="inlineStr">
        <is>
          <t>Delayed</t>
        </is>
      </c>
      <c r="K265" s="8" t="n">
        <v>3</v>
      </c>
      <c r="L265" s="8" t="n">
        <v>5</v>
      </c>
      <c r="M265" s="8">
        <f>C265-B265</f>
        <v/>
      </c>
      <c r="N265" s="9">
        <f>I265/H265</f>
        <v/>
      </c>
      <c r="O265" s="6">
        <f>IF(J265="Cancelled","N/A",IF(L265&lt;=K265,"On Time","Late"))</f>
        <v/>
      </c>
    </row>
    <row r="266">
      <c r="A266" s="2" t="inlineStr">
        <is>
          <t>SHP-1265</t>
        </is>
      </c>
      <c r="B266" s="2" t="inlineStr">
        <is>
          <t>2026-02-13</t>
        </is>
      </c>
      <c r="C266" s="2" t="inlineStr">
        <is>
          <t>2026-02-13</t>
        </is>
      </c>
      <c r="D266" s="3" t="inlineStr">
        <is>
          <t>Hub-West</t>
        </is>
      </c>
      <c r="E266" s="3" t="inlineStr">
        <is>
          <t>Bangalore</t>
        </is>
      </c>
      <c r="F266" s="3" t="inlineStr">
        <is>
          <t>ApexCargo</t>
        </is>
      </c>
      <c r="G266" s="3" t="inlineStr">
        <is>
          <t>Ground</t>
        </is>
      </c>
      <c r="H266" s="4" t="n">
        <v>319</v>
      </c>
      <c r="I266" s="5" t="n">
        <v>11546.84</v>
      </c>
      <c r="J266" s="2" t="inlineStr">
        <is>
          <t>Delivered</t>
        </is>
      </c>
      <c r="K266" s="4" t="n">
        <v>4</v>
      </c>
      <c r="L266" s="4" t="n">
        <v>4</v>
      </c>
      <c r="M266" s="4">
        <f>C266-B266</f>
        <v/>
      </c>
      <c r="N266" s="5">
        <f>I266/H266</f>
        <v/>
      </c>
      <c r="O266" s="2">
        <f>IF(J266="Cancelled","N/A",IF(L266&lt;=K266,"On Time","Late"))</f>
        <v/>
      </c>
    </row>
    <row r="267">
      <c r="A267" s="6" t="inlineStr">
        <is>
          <t>SHP-1266</t>
        </is>
      </c>
      <c r="B267" s="6" t="inlineStr">
        <is>
          <t>2026-02-10</t>
        </is>
      </c>
      <c r="C267" s="6" t="inlineStr">
        <is>
          <t>2026-02-10</t>
        </is>
      </c>
      <c r="D267" s="7" t="inlineStr">
        <is>
          <t>Hub-West</t>
        </is>
      </c>
      <c r="E267" s="7" t="inlineStr">
        <is>
          <t>Ahmedabad</t>
        </is>
      </c>
      <c r="F267" s="7" t="inlineStr">
        <is>
          <t>MetroEx</t>
        </is>
      </c>
      <c r="G267" s="7" t="inlineStr">
        <is>
          <t>Ground</t>
        </is>
      </c>
      <c r="H267" s="8" t="n">
        <v>527</v>
      </c>
      <c r="I267" s="9" t="n">
        <v>19647.69</v>
      </c>
      <c r="J267" s="6" t="inlineStr">
        <is>
          <t>Cancelled</t>
        </is>
      </c>
      <c r="K267" s="8" t="n">
        <v>3</v>
      </c>
      <c r="L267" s="8" t="n">
        <v>0</v>
      </c>
      <c r="M267" s="8">
        <f>C267-B267</f>
        <v/>
      </c>
      <c r="N267" s="9">
        <f>I267/H267</f>
        <v/>
      </c>
      <c r="O267" s="6">
        <f>IF(J267="Cancelled","N/A",IF(L267&lt;=K267,"On Time","Late"))</f>
        <v/>
      </c>
    </row>
    <row r="268">
      <c r="A268" s="2" t="inlineStr">
        <is>
          <t>SHP-1267</t>
        </is>
      </c>
      <c r="B268" s="2" t="inlineStr">
        <is>
          <t>2026-02-07</t>
        </is>
      </c>
      <c r="C268" s="2" t="inlineStr">
        <is>
          <t>2026-02-08</t>
        </is>
      </c>
      <c r="D268" s="3" t="inlineStr">
        <is>
          <t>Hub-South</t>
        </is>
      </c>
      <c r="E268" s="3" t="inlineStr">
        <is>
          <t>Mumbai</t>
        </is>
      </c>
      <c r="F268" s="3" t="inlineStr">
        <is>
          <t>ApexCargo</t>
        </is>
      </c>
      <c r="G268" s="3" t="inlineStr">
        <is>
          <t>Ground</t>
        </is>
      </c>
      <c r="H268" s="4" t="n">
        <v>255</v>
      </c>
      <c r="I268" s="5" t="n">
        <v>7794.56</v>
      </c>
      <c r="J268" s="2" t="inlineStr">
        <is>
          <t>Delivered</t>
        </is>
      </c>
      <c r="K268" s="4" t="n">
        <v>5</v>
      </c>
      <c r="L268" s="4" t="n">
        <v>6</v>
      </c>
      <c r="M268" s="4">
        <f>C268-B268</f>
        <v/>
      </c>
      <c r="N268" s="5">
        <f>I268/H268</f>
        <v/>
      </c>
      <c r="O268" s="2">
        <f>IF(J268="Cancelled","N/A",IF(L268&lt;=K268,"On Time","Late"))</f>
        <v/>
      </c>
    </row>
    <row r="269">
      <c r="A269" s="6" t="inlineStr">
        <is>
          <t>SHP-1268</t>
        </is>
      </c>
      <c r="B269" s="6" t="inlineStr">
        <is>
          <t>2026-01-07</t>
        </is>
      </c>
      <c r="C269" s="6" t="inlineStr">
        <is>
          <t>2026-01-09</t>
        </is>
      </c>
      <c r="D269" s="7" t="inlineStr">
        <is>
          <t>Hub-West</t>
        </is>
      </c>
      <c r="E269" s="7" t="inlineStr">
        <is>
          <t>Hyderabad</t>
        </is>
      </c>
      <c r="F269" s="7" t="inlineStr">
        <is>
          <t>MetroEx</t>
        </is>
      </c>
      <c r="G269" s="7" t="inlineStr">
        <is>
          <t>Ground</t>
        </is>
      </c>
      <c r="H269" s="8" t="n">
        <v>384</v>
      </c>
      <c r="I269" s="9" t="n">
        <v>10475.17</v>
      </c>
      <c r="J269" s="6" t="inlineStr">
        <is>
          <t>Cancelled</t>
        </is>
      </c>
      <c r="K269" s="8" t="n">
        <v>5</v>
      </c>
      <c r="L269" s="8" t="n">
        <v>0</v>
      </c>
      <c r="M269" s="8">
        <f>C269-B269</f>
        <v/>
      </c>
      <c r="N269" s="9">
        <f>I269/H269</f>
        <v/>
      </c>
      <c r="O269" s="6">
        <f>IF(J269="Cancelled","N/A",IF(L269&lt;=K269,"On Time","Late"))</f>
        <v/>
      </c>
    </row>
    <row r="270">
      <c r="A270" s="2" t="inlineStr">
        <is>
          <t>SHP-1269</t>
        </is>
      </c>
      <c r="B270" s="2" t="inlineStr">
        <is>
          <t>2026-02-03</t>
        </is>
      </c>
      <c r="C270" s="2" t="inlineStr">
        <is>
          <t>2026-02-04</t>
        </is>
      </c>
      <c r="D270" s="3" t="inlineStr">
        <is>
          <t>Hub-South</t>
        </is>
      </c>
      <c r="E270" s="3" t="inlineStr">
        <is>
          <t>Ahmedabad</t>
        </is>
      </c>
      <c r="F270" s="3" t="inlineStr">
        <is>
          <t>ApexCargo</t>
        </is>
      </c>
      <c r="G270" s="3" t="inlineStr">
        <is>
          <t>Ground</t>
        </is>
      </c>
      <c r="H270" s="4" t="n">
        <v>328</v>
      </c>
      <c r="I270" s="5" t="n">
        <v>10509.02</v>
      </c>
      <c r="J270" s="2" t="inlineStr">
        <is>
          <t>Delivered</t>
        </is>
      </c>
      <c r="K270" s="4" t="n">
        <v>4</v>
      </c>
      <c r="L270" s="4" t="n">
        <v>6</v>
      </c>
      <c r="M270" s="4">
        <f>C270-B270</f>
        <v/>
      </c>
      <c r="N270" s="5">
        <f>I270/H270</f>
        <v/>
      </c>
      <c r="O270" s="2">
        <f>IF(J270="Cancelled","N/A",IF(L270&lt;=K270,"On Time","Late"))</f>
        <v/>
      </c>
    </row>
    <row r="271">
      <c r="A271" s="6" t="inlineStr">
        <is>
          <t>SHP-1270</t>
        </is>
      </c>
      <c r="B271" s="6" t="inlineStr">
        <is>
          <t>2026-02-15</t>
        </is>
      </c>
      <c r="C271" s="6" t="inlineStr">
        <is>
          <t>2026-02-16</t>
        </is>
      </c>
      <c r="D271" s="7" t="inlineStr">
        <is>
          <t>Hub-East</t>
        </is>
      </c>
      <c r="E271" s="7" t="inlineStr">
        <is>
          <t>Bangalore</t>
        </is>
      </c>
      <c r="F271" s="7" t="inlineStr">
        <is>
          <t>MetroEx</t>
        </is>
      </c>
      <c r="G271" s="7" t="inlineStr">
        <is>
          <t>Ground</t>
        </is>
      </c>
      <c r="H271" s="8" t="n">
        <v>272</v>
      </c>
      <c r="I271" s="9" t="n">
        <v>8461.27</v>
      </c>
      <c r="J271" s="6" t="inlineStr">
        <is>
          <t>Delayed</t>
        </is>
      </c>
      <c r="K271" s="8" t="n">
        <v>3</v>
      </c>
      <c r="L271" s="8" t="n">
        <v>6</v>
      </c>
      <c r="M271" s="8">
        <f>C271-B271</f>
        <v/>
      </c>
      <c r="N271" s="9">
        <f>I271/H271</f>
        <v/>
      </c>
      <c r="O271" s="6">
        <f>IF(J271="Cancelled","N/A",IF(L271&lt;=K271,"On Time","Late"))</f>
        <v/>
      </c>
    </row>
    <row r="272">
      <c r="A272" s="2" t="inlineStr">
        <is>
          <t>SHP-1271</t>
        </is>
      </c>
      <c r="B272" s="2" t="inlineStr">
        <is>
          <t>2026-02-02</t>
        </is>
      </c>
      <c r="C272" s="2" t="inlineStr">
        <is>
          <t>2026-02-03</t>
        </is>
      </c>
      <c r="D272" s="3" t="inlineStr">
        <is>
          <t>Hub-South</t>
        </is>
      </c>
      <c r="E272" s="3" t="inlineStr">
        <is>
          <t>Bangalore</t>
        </is>
      </c>
      <c r="F272" s="3" t="inlineStr">
        <is>
          <t>ApexCargo</t>
        </is>
      </c>
      <c r="G272" s="3" t="inlineStr">
        <is>
          <t>Air</t>
        </is>
      </c>
      <c r="H272" s="4" t="n">
        <v>118</v>
      </c>
      <c r="I272" s="5" t="n">
        <v>10797.16</v>
      </c>
      <c r="J272" s="2" t="inlineStr">
        <is>
          <t>Delivered</t>
        </is>
      </c>
      <c r="K272" s="4" t="n">
        <v>1</v>
      </c>
      <c r="L272" s="4" t="n">
        <v>1</v>
      </c>
      <c r="M272" s="4">
        <f>C272-B272</f>
        <v/>
      </c>
      <c r="N272" s="5">
        <f>I272/H272</f>
        <v/>
      </c>
      <c r="O272" s="2">
        <f>IF(J272="Cancelled","N/A",IF(L272&lt;=K272,"On Time","Late"))</f>
        <v/>
      </c>
    </row>
    <row r="273">
      <c r="A273" s="6" t="inlineStr">
        <is>
          <t>SHP-1272</t>
        </is>
      </c>
      <c r="B273" s="6" t="inlineStr">
        <is>
          <t>2026-01-19</t>
        </is>
      </c>
      <c r="C273" s="6" t="inlineStr">
        <is>
          <t>2026-01-19</t>
        </is>
      </c>
      <c r="D273" s="7" t="inlineStr">
        <is>
          <t>Hub-West</t>
        </is>
      </c>
      <c r="E273" s="7" t="inlineStr">
        <is>
          <t>Hyderabad</t>
        </is>
      </c>
      <c r="F273" s="7" t="inlineStr">
        <is>
          <t>MetroEx</t>
        </is>
      </c>
      <c r="G273" s="7" t="inlineStr">
        <is>
          <t>Rail</t>
        </is>
      </c>
      <c r="H273" s="8" t="n">
        <v>609</v>
      </c>
      <c r="I273" s="9" t="n">
        <v>12579.03</v>
      </c>
      <c r="J273" s="6" t="inlineStr">
        <is>
          <t>Cancelled</t>
        </is>
      </c>
      <c r="K273" s="8" t="n">
        <v>5</v>
      </c>
      <c r="L273" s="8" t="n">
        <v>0</v>
      </c>
      <c r="M273" s="8">
        <f>C273-B273</f>
        <v/>
      </c>
      <c r="N273" s="9">
        <f>I273/H273</f>
        <v/>
      </c>
      <c r="O273" s="6">
        <f>IF(J273="Cancelled","N/A",IF(L273&lt;=K273,"On Time","Late"))</f>
        <v/>
      </c>
    </row>
    <row r="274">
      <c r="A274" s="2" t="inlineStr">
        <is>
          <t>SHP-1273</t>
        </is>
      </c>
      <c r="B274" s="2" t="inlineStr">
        <is>
          <t>2026-01-09</t>
        </is>
      </c>
      <c r="C274" s="2" t="inlineStr">
        <is>
          <t>2026-01-09</t>
        </is>
      </c>
      <c r="D274" s="3" t="inlineStr">
        <is>
          <t>Hub-South</t>
        </is>
      </c>
      <c r="E274" s="3" t="inlineStr">
        <is>
          <t>Pune</t>
        </is>
      </c>
      <c r="F274" s="3" t="inlineStr">
        <is>
          <t>MetroEx</t>
        </is>
      </c>
      <c r="G274" s="3" t="inlineStr">
        <is>
          <t>Rail</t>
        </is>
      </c>
      <c r="H274" s="4" t="n">
        <v>1507</v>
      </c>
      <c r="I274" s="5" t="n">
        <v>24347.55</v>
      </c>
      <c r="J274" s="2" t="inlineStr">
        <is>
          <t>Cancelled</t>
        </is>
      </c>
      <c r="K274" s="4" t="n">
        <v>8</v>
      </c>
      <c r="L274" s="4" t="n">
        <v>0</v>
      </c>
      <c r="M274" s="4">
        <f>C274-B274</f>
        <v/>
      </c>
      <c r="N274" s="5">
        <f>I274/H274</f>
        <v/>
      </c>
      <c r="O274" s="2">
        <f>IF(J274="Cancelled","N/A",IF(L274&lt;=K274,"On Time","Late"))</f>
        <v/>
      </c>
    </row>
    <row r="275">
      <c r="A275" s="6" t="inlineStr">
        <is>
          <t>SHP-1274</t>
        </is>
      </c>
      <c r="B275" s="6" t="inlineStr">
        <is>
          <t>2026-01-11</t>
        </is>
      </c>
      <c r="C275" s="6" t="inlineStr">
        <is>
          <t>2026-01-11</t>
        </is>
      </c>
      <c r="D275" s="7" t="inlineStr">
        <is>
          <t>Hub-East</t>
        </is>
      </c>
      <c r="E275" s="7" t="inlineStr">
        <is>
          <t>Chennai</t>
        </is>
      </c>
      <c r="F275" s="7" t="inlineStr">
        <is>
          <t>MetroEx</t>
        </is>
      </c>
      <c r="G275" s="7" t="inlineStr">
        <is>
          <t>Ground</t>
        </is>
      </c>
      <c r="H275" s="8" t="n">
        <v>290</v>
      </c>
      <c r="I275" s="9" t="n">
        <v>8554.09</v>
      </c>
      <c r="J275" s="6" t="inlineStr">
        <is>
          <t>Delivered</t>
        </is>
      </c>
      <c r="K275" s="8" t="n">
        <v>4</v>
      </c>
      <c r="L275" s="8" t="n">
        <v>4</v>
      </c>
      <c r="M275" s="8">
        <f>C275-B275</f>
        <v/>
      </c>
      <c r="N275" s="9">
        <f>I275/H275</f>
        <v/>
      </c>
      <c r="O275" s="6">
        <f>IF(J275="Cancelled","N/A",IF(L275&lt;=K275,"On Time","Late"))</f>
        <v/>
      </c>
    </row>
    <row r="276">
      <c r="A276" s="2" t="inlineStr">
        <is>
          <t>SHP-1275</t>
        </is>
      </c>
      <c r="B276" s="2" t="inlineStr">
        <is>
          <t>2026-02-06</t>
        </is>
      </c>
      <c r="C276" s="2" t="inlineStr">
        <is>
          <t>2026-02-07</t>
        </is>
      </c>
      <c r="D276" s="3" t="inlineStr">
        <is>
          <t>Hub-East</t>
        </is>
      </c>
      <c r="E276" s="3" t="inlineStr">
        <is>
          <t>Delhi</t>
        </is>
      </c>
      <c r="F276" s="3" t="inlineStr">
        <is>
          <t>MetroEx</t>
        </is>
      </c>
      <c r="G276" s="3" t="inlineStr">
        <is>
          <t>Rail</t>
        </is>
      </c>
      <c r="H276" s="4" t="n">
        <v>1251</v>
      </c>
      <c r="I276" s="5" t="n">
        <v>21792.96</v>
      </c>
      <c r="J276" s="2" t="inlineStr">
        <is>
          <t>Cancelled</t>
        </is>
      </c>
      <c r="K276" s="4" t="n">
        <v>5</v>
      </c>
      <c r="L276" s="4" t="n">
        <v>0</v>
      </c>
      <c r="M276" s="4">
        <f>C276-B276</f>
        <v/>
      </c>
      <c r="N276" s="5">
        <f>I276/H276</f>
        <v/>
      </c>
      <c r="O276" s="2">
        <f>IF(J276="Cancelled","N/A",IF(L276&lt;=K276,"On Time","Late"))</f>
        <v/>
      </c>
    </row>
    <row r="277">
      <c r="A277" s="6" t="inlineStr">
        <is>
          <t>SHP-1276</t>
        </is>
      </c>
      <c r="B277" s="6" t="inlineStr">
        <is>
          <t>2026-02-04</t>
        </is>
      </c>
      <c r="C277" s="6" t="inlineStr">
        <is>
          <t>2026-02-04</t>
        </is>
      </c>
      <c r="D277" s="7" t="inlineStr">
        <is>
          <t>Hub-South</t>
        </is>
      </c>
      <c r="E277" s="7" t="inlineStr">
        <is>
          <t>Delhi</t>
        </is>
      </c>
      <c r="F277" s="7" t="inlineStr">
        <is>
          <t>ApexCargo</t>
        </is>
      </c>
      <c r="G277" s="7" t="inlineStr">
        <is>
          <t>Rail</t>
        </is>
      </c>
      <c r="H277" s="8" t="n">
        <v>1006</v>
      </c>
      <c r="I277" s="9" t="n">
        <v>15066.95</v>
      </c>
      <c r="J277" s="6" t="inlineStr">
        <is>
          <t>Cancelled</t>
        </is>
      </c>
      <c r="K277" s="8" t="n">
        <v>5</v>
      </c>
      <c r="L277" s="8" t="n">
        <v>0</v>
      </c>
      <c r="M277" s="8">
        <f>C277-B277</f>
        <v/>
      </c>
      <c r="N277" s="9">
        <f>I277/H277</f>
        <v/>
      </c>
      <c r="O277" s="6">
        <f>IF(J277="Cancelled","N/A",IF(L277&lt;=K277,"On Time","Late"))</f>
        <v/>
      </c>
    </row>
    <row r="278">
      <c r="A278" s="2" t="inlineStr">
        <is>
          <t>SHP-1277</t>
        </is>
      </c>
      <c r="B278" s="2" t="inlineStr">
        <is>
          <t>2026-01-17</t>
        </is>
      </c>
      <c r="C278" s="2" t="inlineStr">
        <is>
          <t>2026-01-18</t>
        </is>
      </c>
      <c r="D278" s="3" t="inlineStr">
        <is>
          <t>Hub-East</t>
        </is>
      </c>
      <c r="E278" s="3" t="inlineStr">
        <is>
          <t>Pune</t>
        </is>
      </c>
      <c r="F278" s="3" t="inlineStr">
        <is>
          <t>SwiftLog</t>
        </is>
      </c>
      <c r="G278" s="3" t="inlineStr">
        <is>
          <t>Ground</t>
        </is>
      </c>
      <c r="H278" s="4" t="n">
        <v>257</v>
      </c>
      <c r="I278" s="5" t="n">
        <v>10592.01</v>
      </c>
      <c r="J278" s="2" t="inlineStr">
        <is>
          <t>Delayed</t>
        </is>
      </c>
      <c r="K278" s="4" t="n">
        <v>5</v>
      </c>
      <c r="L278" s="4" t="n">
        <v>10</v>
      </c>
      <c r="M278" s="4">
        <f>C278-B278</f>
        <v/>
      </c>
      <c r="N278" s="5">
        <f>I278/H278</f>
        <v/>
      </c>
      <c r="O278" s="2">
        <f>IF(J278="Cancelled","N/A",IF(L278&lt;=K278,"On Time","Late"))</f>
        <v/>
      </c>
    </row>
    <row r="279">
      <c r="A279" s="6" t="inlineStr">
        <is>
          <t>SHP-1278</t>
        </is>
      </c>
      <c r="B279" s="6" t="inlineStr">
        <is>
          <t>2026-01-11</t>
        </is>
      </c>
      <c r="C279" s="6" t="inlineStr">
        <is>
          <t>2026-01-13</t>
        </is>
      </c>
      <c r="D279" s="7" t="inlineStr">
        <is>
          <t>Hub-West</t>
        </is>
      </c>
      <c r="E279" s="7" t="inlineStr">
        <is>
          <t>Chennai</t>
        </is>
      </c>
      <c r="F279" s="7" t="inlineStr">
        <is>
          <t>SwiftLog</t>
        </is>
      </c>
      <c r="G279" s="7" t="inlineStr">
        <is>
          <t>Ground</t>
        </is>
      </c>
      <c r="H279" s="8" t="n">
        <v>441</v>
      </c>
      <c r="I279" s="9" t="n">
        <v>14119.19</v>
      </c>
      <c r="J279" s="6" t="inlineStr">
        <is>
          <t>Delivered</t>
        </is>
      </c>
      <c r="K279" s="8" t="n">
        <v>4</v>
      </c>
      <c r="L279" s="8" t="n">
        <v>4</v>
      </c>
      <c r="M279" s="8">
        <f>C279-B279</f>
        <v/>
      </c>
      <c r="N279" s="9">
        <f>I279/H279</f>
        <v/>
      </c>
      <c r="O279" s="6">
        <f>IF(J279="Cancelled","N/A",IF(L279&lt;=K279,"On Time","Late"))</f>
        <v/>
      </c>
    </row>
    <row r="280">
      <c r="A280" s="2" t="inlineStr">
        <is>
          <t>SHP-1279</t>
        </is>
      </c>
      <c r="B280" s="2" t="inlineStr">
        <is>
          <t>2026-02-15</t>
        </is>
      </c>
      <c r="C280" s="2" t="inlineStr">
        <is>
          <t>2026-02-16</t>
        </is>
      </c>
      <c r="D280" s="3" t="inlineStr">
        <is>
          <t>Hub-North</t>
        </is>
      </c>
      <c r="E280" s="3" t="inlineStr">
        <is>
          <t>Kolkata</t>
        </is>
      </c>
      <c r="F280" s="3" t="inlineStr">
        <is>
          <t>ApexCargo</t>
        </is>
      </c>
      <c r="G280" s="3" t="inlineStr">
        <is>
          <t>Rail</t>
        </is>
      </c>
      <c r="H280" s="4" t="n">
        <v>695</v>
      </c>
      <c r="I280" s="5" t="n">
        <v>9282.34</v>
      </c>
      <c r="J280" s="2" t="inlineStr">
        <is>
          <t>Delivered</t>
        </is>
      </c>
      <c r="K280" s="4" t="n">
        <v>8</v>
      </c>
      <c r="L280" s="4" t="n">
        <v>8</v>
      </c>
      <c r="M280" s="4">
        <f>C280-B280</f>
        <v/>
      </c>
      <c r="N280" s="5">
        <f>I280/H280</f>
        <v/>
      </c>
      <c r="O280" s="2">
        <f>IF(J280="Cancelled","N/A",IF(L280&lt;=K280,"On Time","Late"))</f>
        <v/>
      </c>
    </row>
    <row r="281">
      <c r="A281" s="6" t="inlineStr">
        <is>
          <t>SHP-1280</t>
        </is>
      </c>
      <c r="B281" s="6" t="inlineStr">
        <is>
          <t>2026-02-11</t>
        </is>
      </c>
      <c r="C281" s="6" t="inlineStr">
        <is>
          <t>2026-02-11</t>
        </is>
      </c>
      <c r="D281" s="7" t="inlineStr">
        <is>
          <t>Hub-West</t>
        </is>
      </c>
      <c r="E281" s="7" t="inlineStr">
        <is>
          <t>Chennai</t>
        </is>
      </c>
      <c r="F281" s="7" t="inlineStr">
        <is>
          <t>SwiftLog</t>
        </is>
      </c>
      <c r="G281" s="7" t="inlineStr">
        <is>
          <t>Rail</t>
        </is>
      </c>
      <c r="H281" s="8" t="n">
        <v>1159</v>
      </c>
      <c r="I281" s="9" t="n">
        <v>23510.1</v>
      </c>
      <c r="J281" s="6" t="inlineStr">
        <is>
          <t>Cancelled</t>
        </is>
      </c>
      <c r="K281" s="8" t="n">
        <v>8</v>
      </c>
      <c r="L281" s="8" t="n">
        <v>0</v>
      </c>
      <c r="M281" s="8">
        <f>C281-B281</f>
        <v/>
      </c>
      <c r="N281" s="9">
        <f>I281/H281</f>
        <v/>
      </c>
      <c r="O281" s="6">
        <f>IF(J281="Cancelled","N/A",IF(L281&lt;=K281,"On Time","Late"))</f>
        <v/>
      </c>
    </row>
    <row r="282">
      <c r="A282" s="2" t="inlineStr">
        <is>
          <t>SHP-1281</t>
        </is>
      </c>
      <c r="B282" s="2" t="inlineStr">
        <is>
          <t>2026-01-10</t>
        </is>
      </c>
      <c r="C282" s="2" t="inlineStr">
        <is>
          <t>2026-01-12</t>
        </is>
      </c>
      <c r="D282" s="3" t="inlineStr">
        <is>
          <t>Hub-North</t>
        </is>
      </c>
      <c r="E282" s="3" t="inlineStr">
        <is>
          <t>Ahmedabad</t>
        </is>
      </c>
      <c r="F282" s="3" t="inlineStr">
        <is>
          <t>MetroEx</t>
        </is>
      </c>
      <c r="G282" s="3" t="inlineStr">
        <is>
          <t>Air</t>
        </is>
      </c>
      <c r="H282" s="4" t="n">
        <v>29</v>
      </c>
      <c r="I282" s="5" t="n">
        <v>3108.13</v>
      </c>
      <c r="J282" s="2" t="inlineStr">
        <is>
          <t>In Transit</t>
        </is>
      </c>
      <c r="K282" s="4" t="n">
        <v>1</v>
      </c>
      <c r="L282" s="4" t="n">
        <v>1</v>
      </c>
      <c r="M282" s="4">
        <f>C282-B282</f>
        <v/>
      </c>
      <c r="N282" s="5">
        <f>I282/H282</f>
        <v/>
      </c>
      <c r="O282" s="2">
        <f>IF(J282="Cancelled","N/A",IF(L282&lt;=K282,"On Time","Late"))</f>
        <v/>
      </c>
    </row>
    <row r="283">
      <c r="A283" s="6" t="inlineStr">
        <is>
          <t>SHP-1282</t>
        </is>
      </c>
      <c r="B283" s="6" t="inlineStr">
        <is>
          <t>2026-02-02</t>
        </is>
      </c>
      <c r="C283" s="6" t="inlineStr">
        <is>
          <t>2026-02-03</t>
        </is>
      </c>
      <c r="D283" s="7" t="inlineStr">
        <is>
          <t>Hub-North</t>
        </is>
      </c>
      <c r="E283" s="7" t="inlineStr">
        <is>
          <t>Pune</t>
        </is>
      </c>
      <c r="F283" s="7" t="inlineStr">
        <is>
          <t>MetroEx</t>
        </is>
      </c>
      <c r="G283" s="7" t="inlineStr">
        <is>
          <t>Air</t>
        </is>
      </c>
      <c r="H283" s="8" t="n">
        <v>10</v>
      </c>
      <c r="I283" s="9" t="n">
        <v>1154.12</v>
      </c>
      <c r="J283" s="6" t="inlineStr">
        <is>
          <t>Cancelled</t>
        </is>
      </c>
      <c r="K283" s="8" t="n">
        <v>1</v>
      </c>
      <c r="L283" s="8" t="n">
        <v>0</v>
      </c>
      <c r="M283" s="8">
        <f>C283-B283</f>
        <v/>
      </c>
      <c r="N283" s="9">
        <f>I283/H283</f>
        <v/>
      </c>
      <c r="O283" s="6">
        <f>IF(J283="Cancelled","N/A",IF(L283&lt;=K283,"On Time","Late"))</f>
        <v/>
      </c>
    </row>
    <row r="284">
      <c r="A284" s="2" t="inlineStr">
        <is>
          <t>SHP-1283</t>
        </is>
      </c>
      <c r="B284" s="2" t="inlineStr">
        <is>
          <t>2026-02-10</t>
        </is>
      </c>
      <c r="C284" s="2" t="inlineStr">
        <is>
          <t>2026-02-11</t>
        </is>
      </c>
      <c r="D284" s="3" t="inlineStr">
        <is>
          <t>Hub-East</t>
        </is>
      </c>
      <c r="E284" s="3" t="inlineStr">
        <is>
          <t>Ahmedabad</t>
        </is>
      </c>
      <c r="F284" s="3" t="inlineStr">
        <is>
          <t>SwiftLog</t>
        </is>
      </c>
      <c r="G284" s="3" t="inlineStr">
        <is>
          <t>Air</t>
        </is>
      </c>
      <c r="H284" s="4" t="n">
        <v>64</v>
      </c>
      <c r="I284" s="5" t="n">
        <v>6548.16</v>
      </c>
      <c r="J284" s="2" t="inlineStr">
        <is>
          <t>Delivered</t>
        </is>
      </c>
      <c r="K284" s="4" t="n">
        <v>2</v>
      </c>
      <c r="L284" s="4" t="n">
        <v>2</v>
      </c>
      <c r="M284" s="4">
        <f>C284-B284</f>
        <v/>
      </c>
      <c r="N284" s="5">
        <f>I284/H284</f>
        <v/>
      </c>
      <c r="O284" s="2">
        <f>IF(J284="Cancelled","N/A",IF(L284&lt;=K284,"On Time","Late"))</f>
        <v/>
      </c>
    </row>
    <row r="285">
      <c r="A285" s="6" t="inlineStr">
        <is>
          <t>SHP-1284</t>
        </is>
      </c>
      <c r="B285" s="6" t="inlineStr">
        <is>
          <t>2026-02-05</t>
        </is>
      </c>
      <c r="C285" s="6" t="inlineStr">
        <is>
          <t>2026-02-07</t>
        </is>
      </c>
      <c r="D285" s="7" t="inlineStr">
        <is>
          <t>Hub-West</t>
        </is>
      </c>
      <c r="E285" s="7" t="inlineStr">
        <is>
          <t>Pune</t>
        </is>
      </c>
      <c r="F285" s="7" t="inlineStr">
        <is>
          <t>MetroEx</t>
        </is>
      </c>
      <c r="G285" s="7" t="inlineStr">
        <is>
          <t>Rail</t>
        </is>
      </c>
      <c r="H285" s="8" t="n">
        <v>599</v>
      </c>
      <c r="I285" s="9" t="n">
        <v>7463.2</v>
      </c>
      <c r="J285" s="6" t="inlineStr">
        <is>
          <t>Delivered</t>
        </is>
      </c>
      <c r="K285" s="8" t="n">
        <v>8</v>
      </c>
      <c r="L285" s="8" t="n">
        <v>7</v>
      </c>
      <c r="M285" s="8">
        <f>C285-B285</f>
        <v/>
      </c>
      <c r="N285" s="9">
        <f>I285/H285</f>
        <v/>
      </c>
      <c r="O285" s="6">
        <f>IF(J285="Cancelled","N/A",IF(L285&lt;=K285,"On Time","Late"))</f>
        <v/>
      </c>
    </row>
    <row r="286">
      <c r="A286" s="2" t="inlineStr">
        <is>
          <t>SHP-1285</t>
        </is>
      </c>
      <c r="B286" s="2" t="inlineStr">
        <is>
          <t>2026-01-11</t>
        </is>
      </c>
      <c r="C286" s="2" t="inlineStr">
        <is>
          <t>2026-01-12</t>
        </is>
      </c>
      <c r="D286" s="3" t="inlineStr">
        <is>
          <t>Hub-South</t>
        </is>
      </c>
      <c r="E286" s="3" t="inlineStr">
        <is>
          <t>Mumbai</t>
        </is>
      </c>
      <c r="F286" s="3" t="inlineStr">
        <is>
          <t>MetroEx</t>
        </is>
      </c>
      <c r="G286" s="3" t="inlineStr">
        <is>
          <t>Ground</t>
        </is>
      </c>
      <c r="H286" s="4" t="n">
        <v>502</v>
      </c>
      <c r="I286" s="5" t="n">
        <v>21680.45</v>
      </c>
      <c r="J286" s="2" t="inlineStr">
        <is>
          <t>Delivered</t>
        </is>
      </c>
      <c r="K286" s="4" t="n">
        <v>5</v>
      </c>
      <c r="L286" s="4" t="n">
        <v>5</v>
      </c>
      <c r="M286" s="4">
        <f>C286-B286</f>
        <v/>
      </c>
      <c r="N286" s="5">
        <f>I286/H286</f>
        <v/>
      </c>
      <c r="O286" s="2">
        <f>IF(J286="Cancelled","N/A",IF(L286&lt;=K286,"On Time","Late"))</f>
        <v/>
      </c>
    </row>
    <row r="287">
      <c r="A287" s="6" t="inlineStr">
        <is>
          <t>SHP-1286</t>
        </is>
      </c>
      <c r="B287" s="6" t="inlineStr">
        <is>
          <t>2026-01-18</t>
        </is>
      </c>
      <c r="C287" s="6" t="inlineStr">
        <is>
          <t>2026-01-18</t>
        </is>
      </c>
      <c r="D287" s="7" t="inlineStr">
        <is>
          <t>Hub-North</t>
        </is>
      </c>
      <c r="E287" s="7" t="inlineStr">
        <is>
          <t>Kolkata</t>
        </is>
      </c>
      <c r="F287" s="7" t="inlineStr">
        <is>
          <t>SwiftLog</t>
        </is>
      </c>
      <c r="G287" s="7" t="inlineStr">
        <is>
          <t>Air</t>
        </is>
      </c>
      <c r="H287" s="8" t="n">
        <v>52</v>
      </c>
      <c r="I287" s="9" t="n">
        <v>4514.25</v>
      </c>
      <c r="J287" s="6" t="inlineStr">
        <is>
          <t>Delivered</t>
        </is>
      </c>
      <c r="K287" s="8" t="n">
        <v>2</v>
      </c>
      <c r="L287" s="8" t="n">
        <v>2</v>
      </c>
      <c r="M287" s="8">
        <f>C287-B287</f>
        <v/>
      </c>
      <c r="N287" s="9">
        <f>I287/H287</f>
        <v/>
      </c>
      <c r="O287" s="6">
        <f>IF(J287="Cancelled","N/A",IF(L287&lt;=K287,"On Time","Late"))</f>
        <v/>
      </c>
    </row>
    <row r="288">
      <c r="A288" s="2" t="inlineStr">
        <is>
          <t>SHP-1287</t>
        </is>
      </c>
      <c r="B288" s="2" t="inlineStr">
        <is>
          <t>2026-02-11</t>
        </is>
      </c>
      <c r="C288" s="2" t="inlineStr">
        <is>
          <t>2026-02-11</t>
        </is>
      </c>
      <c r="D288" s="3" t="inlineStr">
        <is>
          <t>Hub-East</t>
        </is>
      </c>
      <c r="E288" s="3" t="inlineStr">
        <is>
          <t>Mumbai</t>
        </is>
      </c>
      <c r="F288" s="3" t="inlineStr">
        <is>
          <t>SwiftLog</t>
        </is>
      </c>
      <c r="G288" s="3" t="inlineStr">
        <is>
          <t>Air</t>
        </is>
      </c>
      <c r="H288" s="4" t="n">
        <v>29</v>
      </c>
      <c r="I288" s="5" t="n">
        <v>2599.69</v>
      </c>
      <c r="J288" s="2" t="inlineStr">
        <is>
          <t>Cancelled</t>
        </is>
      </c>
      <c r="K288" s="4" t="n">
        <v>1</v>
      </c>
      <c r="L288" s="4" t="n">
        <v>0</v>
      </c>
      <c r="M288" s="4">
        <f>C288-B288</f>
        <v/>
      </c>
      <c r="N288" s="5">
        <f>I288/H288</f>
        <v/>
      </c>
      <c r="O288" s="2">
        <f>IF(J288="Cancelled","N/A",IF(L288&lt;=K288,"On Time","Late"))</f>
        <v/>
      </c>
    </row>
    <row r="289">
      <c r="A289" s="6" t="inlineStr">
        <is>
          <t>SHP-1288</t>
        </is>
      </c>
      <c r="B289" s="6" t="inlineStr">
        <is>
          <t>2026-01-01</t>
        </is>
      </c>
      <c r="C289" s="6" t="inlineStr">
        <is>
          <t>2026-01-01</t>
        </is>
      </c>
      <c r="D289" s="7" t="inlineStr">
        <is>
          <t>Hub-North</t>
        </is>
      </c>
      <c r="E289" s="7" t="inlineStr">
        <is>
          <t>Delhi</t>
        </is>
      </c>
      <c r="F289" s="7" t="inlineStr">
        <is>
          <t>MetroEx</t>
        </is>
      </c>
      <c r="G289" s="7" t="inlineStr">
        <is>
          <t>Rail</t>
        </is>
      </c>
      <c r="H289" s="8" t="n">
        <v>770</v>
      </c>
      <c r="I289" s="9" t="n">
        <v>12918.29</v>
      </c>
      <c r="J289" s="6" t="inlineStr">
        <is>
          <t>In Transit</t>
        </is>
      </c>
      <c r="K289" s="8" t="n">
        <v>6</v>
      </c>
      <c r="L289" s="8" t="n">
        <v>6</v>
      </c>
      <c r="M289" s="8">
        <f>C289-B289</f>
        <v/>
      </c>
      <c r="N289" s="9">
        <f>I289/H289</f>
        <v/>
      </c>
      <c r="O289" s="6">
        <f>IF(J289="Cancelled","N/A",IF(L289&lt;=K289,"On Time","Late"))</f>
        <v/>
      </c>
    </row>
    <row r="290">
      <c r="A290" s="2" t="inlineStr">
        <is>
          <t>SHP-1289</t>
        </is>
      </c>
      <c r="B290" s="2" t="inlineStr">
        <is>
          <t>2026-01-06</t>
        </is>
      </c>
      <c r="C290" s="2" t="inlineStr">
        <is>
          <t>2026-01-06</t>
        </is>
      </c>
      <c r="D290" s="3" t="inlineStr">
        <is>
          <t>Hub-East</t>
        </is>
      </c>
      <c r="E290" s="3" t="inlineStr">
        <is>
          <t>Hyderabad</t>
        </is>
      </c>
      <c r="F290" s="3" t="inlineStr">
        <is>
          <t>MetroEx</t>
        </is>
      </c>
      <c r="G290" s="3" t="inlineStr">
        <is>
          <t>Air</t>
        </is>
      </c>
      <c r="H290" s="4" t="n">
        <v>45</v>
      </c>
      <c r="I290" s="5" t="n">
        <v>4427.79</v>
      </c>
      <c r="J290" s="2" t="inlineStr">
        <is>
          <t>Delivered</t>
        </is>
      </c>
      <c r="K290" s="4" t="n">
        <v>1</v>
      </c>
      <c r="L290" s="4" t="n">
        <v>1</v>
      </c>
      <c r="M290" s="4">
        <f>C290-B290</f>
        <v/>
      </c>
      <c r="N290" s="5">
        <f>I290/H290</f>
        <v/>
      </c>
      <c r="O290" s="2">
        <f>IF(J290="Cancelled","N/A",IF(L290&lt;=K290,"On Time","Late"))</f>
        <v/>
      </c>
    </row>
    <row r="291">
      <c r="A291" s="6" t="inlineStr">
        <is>
          <t>SHP-1290</t>
        </is>
      </c>
      <c r="B291" s="6" t="inlineStr">
        <is>
          <t>2026-02-03</t>
        </is>
      </c>
      <c r="C291" s="6" t="inlineStr">
        <is>
          <t>2026-02-05</t>
        </is>
      </c>
      <c r="D291" s="7" t="inlineStr">
        <is>
          <t>Hub-East</t>
        </is>
      </c>
      <c r="E291" s="7" t="inlineStr">
        <is>
          <t>Bangalore</t>
        </is>
      </c>
      <c r="F291" s="7" t="inlineStr">
        <is>
          <t>MetroEx</t>
        </is>
      </c>
      <c r="G291" s="7" t="inlineStr">
        <is>
          <t>Air</t>
        </is>
      </c>
      <c r="H291" s="8" t="n">
        <v>64</v>
      </c>
      <c r="I291" s="9" t="n">
        <v>6846.9</v>
      </c>
      <c r="J291" s="6" t="inlineStr">
        <is>
          <t>In Transit</t>
        </is>
      </c>
      <c r="K291" s="8" t="n">
        <v>1</v>
      </c>
      <c r="L291" s="8" t="n">
        <v>1</v>
      </c>
      <c r="M291" s="8">
        <f>C291-B291</f>
        <v/>
      </c>
      <c r="N291" s="9">
        <f>I291/H291</f>
        <v/>
      </c>
      <c r="O291" s="6">
        <f>IF(J291="Cancelled","N/A",IF(L291&lt;=K291,"On Time","Late"))</f>
        <v/>
      </c>
    </row>
    <row r="292">
      <c r="A292" s="2" t="inlineStr">
        <is>
          <t>SHP-1291</t>
        </is>
      </c>
      <c r="B292" s="2" t="inlineStr">
        <is>
          <t>2026-02-09</t>
        </is>
      </c>
      <c r="C292" s="2" t="inlineStr">
        <is>
          <t>2026-02-10</t>
        </is>
      </c>
      <c r="D292" s="3" t="inlineStr">
        <is>
          <t>Hub-West</t>
        </is>
      </c>
      <c r="E292" s="3" t="inlineStr">
        <is>
          <t>Delhi</t>
        </is>
      </c>
      <c r="F292" s="3" t="inlineStr">
        <is>
          <t>SwiftLog</t>
        </is>
      </c>
      <c r="G292" s="3" t="inlineStr">
        <is>
          <t>Ground</t>
        </is>
      </c>
      <c r="H292" s="4" t="n">
        <v>535</v>
      </c>
      <c r="I292" s="5" t="n">
        <v>14692.78</v>
      </c>
      <c r="J292" s="2" t="inlineStr">
        <is>
          <t>In Transit</t>
        </is>
      </c>
      <c r="K292" s="4" t="n">
        <v>5</v>
      </c>
      <c r="L292" s="4" t="n">
        <v>5</v>
      </c>
      <c r="M292" s="4">
        <f>C292-B292</f>
        <v/>
      </c>
      <c r="N292" s="5">
        <f>I292/H292</f>
        <v/>
      </c>
      <c r="O292" s="2">
        <f>IF(J292="Cancelled","N/A",IF(L292&lt;=K292,"On Time","Late"))</f>
        <v/>
      </c>
    </row>
    <row r="293">
      <c r="A293" s="6" t="inlineStr">
        <is>
          <t>SHP-1292</t>
        </is>
      </c>
      <c r="B293" s="6" t="inlineStr">
        <is>
          <t>2026-01-23</t>
        </is>
      </c>
      <c r="C293" s="6" t="inlineStr">
        <is>
          <t>2026-01-24</t>
        </is>
      </c>
      <c r="D293" s="7" t="inlineStr">
        <is>
          <t>Hub-North</t>
        </is>
      </c>
      <c r="E293" s="7" t="inlineStr">
        <is>
          <t>Bangalore</t>
        </is>
      </c>
      <c r="F293" s="7" t="inlineStr">
        <is>
          <t>SwiftLog</t>
        </is>
      </c>
      <c r="G293" s="7" t="inlineStr">
        <is>
          <t>Air</t>
        </is>
      </c>
      <c r="H293" s="8" t="n">
        <v>31</v>
      </c>
      <c r="I293" s="9" t="n">
        <v>2904.26</v>
      </c>
      <c r="J293" s="6" t="inlineStr">
        <is>
          <t>Delivered</t>
        </is>
      </c>
      <c r="K293" s="8" t="n">
        <v>2</v>
      </c>
      <c r="L293" s="8" t="n">
        <v>4</v>
      </c>
      <c r="M293" s="8">
        <f>C293-B293</f>
        <v/>
      </c>
      <c r="N293" s="9">
        <f>I293/H293</f>
        <v/>
      </c>
      <c r="O293" s="6">
        <f>IF(J293="Cancelled","N/A",IF(L293&lt;=K293,"On Time","Late"))</f>
        <v/>
      </c>
    </row>
    <row r="294">
      <c r="A294" s="2" t="inlineStr">
        <is>
          <t>SHP-1293</t>
        </is>
      </c>
      <c r="B294" s="2" t="inlineStr">
        <is>
          <t>2026-01-20</t>
        </is>
      </c>
      <c r="C294" s="2" t="inlineStr">
        <is>
          <t>2026-01-20</t>
        </is>
      </c>
      <c r="D294" s="3" t="inlineStr">
        <is>
          <t>Hub-West</t>
        </is>
      </c>
      <c r="E294" s="3" t="inlineStr">
        <is>
          <t>Ahmedabad</t>
        </is>
      </c>
      <c r="F294" s="3" t="inlineStr">
        <is>
          <t>MetroEx</t>
        </is>
      </c>
      <c r="G294" s="3" t="inlineStr">
        <is>
          <t>Rail</t>
        </is>
      </c>
      <c r="H294" s="4" t="n">
        <v>611</v>
      </c>
      <c r="I294" s="5" t="n">
        <v>12121.03</v>
      </c>
      <c r="J294" s="2" t="inlineStr">
        <is>
          <t>Cancelled</t>
        </is>
      </c>
      <c r="K294" s="4" t="n">
        <v>6</v>
      </c>
      <c r="L294" s="4" t="n">
        <v>0</v>
      </c>
      <c r="M294" s="4">
        <f>C294-B294</f>
        <v/>
      </c>
      <c r="N294" s="5">
        <f>I294/H294</f>
        <v/>
      </c>
      <c r="O294" s="2">
        <f>IF(J294="Cancelled","N/A",IF(L294&lt;=K294,"On Time","Late"))</f>
        <v/>
      </c>
    </row>
    <row r="295">
      <c r="A295" s="6" t="inlineStr">
        <is>
          <t>SHP-1294</t>
        </is>
      </c>
      <c r="B295" s="6" t="inlineStr">
        <is>
          <t>2026-01-25</t>
        </is>
      </c>
      <c r="C295" s="6" t="inlineStr">
        <is>
          <t>2026-01-25</t>
        </is>
      </c>
      <c r="D295" s="7" t="inlineStr">
        <is>
          <t>Hub-West</t>
        </is>
      </c>
      <c r="E295" s="7" t="inlineStr">
        <is>
          <t>Pune</t>
        </is>
      </c>
      <c r="F295" s="7" t="inlineStr">
        <is>
          <t>ApexCargo</t>
        </is>
      </c>
      <c r="G295" s="7" t="inlineStr">
        <is>
          <t>Rail</t>
        </is>
      </c>
      <c r="H295" s="8" t="n">
        <v>645</v>
      </c>
      <c r="I295" s="9" t="n">
        <v>11147.45</v>
      </c>
      <c r="J295" s="6" t="inlineStr">
        <is>
          <t>Delayed</t>
        </is>
      </c>
      <c r="K295" s="8" t="n">
        <v>5</v>
      </c>
      <c r="L295" s="8" t="n">
        <v>9</v>
      </c>
      <c r="M295" s="8">
        <f>C295-B295</f>
        <v/>
      </c>
      <c r="N295" s="9">
        <f>I295/H295</f>
        <v/>
      </c>
      <c r="O295" s="6">
        <f>IF(J295="Cancelled","N/A",IF(L295&lt;=K295,"On Time","Late"))</f>
        <v/>
      </c>
    </row>
    <row r="296">
      <c r="A296" s="2" t="inlineStr">
        <is>
          <t>SHP-1295</t>
        </is>
      </c>
      <c r="B296" s="2" t="inlineStr">
        <is>
          <t>2026-01-09</t>
        </is>
      </c>
      <c r="C296" s="2" t="inlineStr">
        <is>
          <t>2026-01-10</t>
        </is>
      </c>
      <c r="D296" s="3" t="inlineStr">
        <is>
          <t>Hub-South</t>
        </is>
      </c>
      <c r="E296" s="3" t="inlineStr">
        <is>
          <t>Hyderabad</t>
        </is>
      </c>
      <c r="F296" s="3" t="inlineStr">
        <is>
          <t>ApexCargo</t>
        </is>
      </c>
      <c r="G296" s="3" t="inlineStr">
        <is>
          <t>Rail</t>
        </is>
      </c>
      <c r="H296" s="4" t="n">
        <v>853</v>
      </c>
      <c r="I296" s="5" t="n">
        <v>16742.05</v>
      </c>
      <c r="J296" s="2" t="inlineStr">
        <is>
          <t>Delivered</t>
        </is>
      </c>
      <c r="K296" s="4" t="n">
        <v>5</v>
      </c>
      <c r="L296" s="4" t="n">
        <v>6</v>
      </c>
      <c r="M296" s="4">
        <f>C296-B296</f>
        <v/>
      </c>
      <c r="N296" s="5">
        <f>I296/H296</f>
        <v/>
      </c>
      <c r="O296" s="2">
        <f>IF(J296="Cancelled","N/A",IF(L296&lt;=K296,"On Time","Late"))</f>
        <v/>
      </c>
    </row>
    <row r="297">
      <c r="A297" s="6" t="inlineStr">
        <is>
          <t>SHP-1296</t>
        </is>
      </c>
      <c r="B297" s="6" t="inlineStr">
        <is>
          <t>2026-01-05</t>
        </is>
      </c>
      <c r="C297" s="6" t="inlineStr">
        <is>
          <t>2026-01-05</t>
        </is>
      </c>
      <c r="D297" s="7" t="inlineStr">
        <is>
          <t>Hub-North</t>
        </is>
      </c>
      <c r="E297" s="7" t="inlineStr">
        <is>
          <t>Chennai</t>
        </is>
      </c>
      <c r="F297" s="7" t="inlineStr">
        <is>
          <t>SwiftLog</t>
        </is>
      </c>
      <c r="G297" s="7" t="inlineStr">
        <is>
          <t>Ground</t>
        </is>
      </c>
      <c r="H297" s="8" t="n">
        <v>554</v>
      </c>
      <c r="I297" s="9" t="n">
        <v>18259.56</v>
      </c>
      <c r="J297" s="6" t="inlineStr">
        <is>
          <t>In Transit</t>
        </is>
      </c>
      <c r="K297" s="8" t="n">
        <v>4</v>
      </c>
      <c r="L297" s="8" t="n">
        <v>4</v>
      </c>
      <c r="M297" s="8">
        <f>C297-B297</f>
        <v/>
      </c>
      <c r="N297" s="9">
        <f>I297/H297</f>
        <v/>
      </c>
      <c r="O297" s="6">
        <f>IF(J297="Cancelled","N/A",IF(L297&lt;=K297,"On Time","Late"))</f>
        <v/>
      </c>
    </row>
    <row r="298">
      <c r="A298" s="2" t="inlineStr">
        <is>
          <t>SHP-1297</t>
        </is>
      </c>
      <c r="B298" s="2" t="inlineStr">
        <is>
          <t>2026-01-28</t>
        </is>
      </c>
      <c r="C298" s="2" t="inlineStr">
        <is>
          <t>2026-01-29</t>
        </is>
      </c>
      <c r="D298" s="3" t="inlineStr">
        <is>
          <t>Hub-East</t>
        </is>
      </c>
      <c r="E298" s="3" t="inlineStr">
        <is>
          <t>Bangalore</t>
        </is>
      </c>
      <c r="F298" s="3" t="inlineStr">
        <is>
          <t>MetroEx</t>
        </is>
      </c>
      <c r="G298" s="3" t="inlineStr">
        <is>
          <t>Ground</t>
        </is>
      </c>
      <c r="H298" s="4" t="n">
        <v>308</v>
      </c>
      <c r="I298" s="5" t="n">
        <v>8186.77</v>
      </c>
      <c r="J298" s="2" t="inlineStr">
        <is>
          <t>Delivered</t>
        </is>
      </c>
      <c r="K298" s="4" t="n">
        <v>3</v>
      </c>
      <c r="L298" s="4" t="n">
        <v>4</v>
      </c>
      <c r="M298" s="4">
        <f>C298-B298</f>
        <v/>
      </c>
      <c r="N298" s="5">
        <f>I298/H298</f>
        <v/>
      </c>
      <c r="O298" s="2">
        <f>IF(J298="Cancelled","N/A",IF(L298&lt;=K298,"On Time","Late"))</f>
        <v/>
      </c>
    </row>
    <row r="299">
      <c r="A299" s="6" t="inlineStr">
        <is>
          <t>SHP-1298</t>
        </is>
      </c>
      <c r="B299" s="6" t="inlineStr">
        <is>
          <t>2026-01-21</t>
        </is>
      </c>
      <c r="C299" s="6" t="inlineStr">
        <is>
          <t>2026-01-22</t>
        </is>
      </c>
      <c r="D299" s="7" t="inlineStr">
        <is>
          <t>Hub-East</t>
        </is>
      </c>
      <c r="E299" s="7" t="inlineStr">
        <is>
          <t>Kolkata</t>
        </is>
      </c>
      <c r="F299" s="7" t="inlineStr">
        <is>
          <t>ApexCargo</t>
        </is>
      </c>
      <c r="G299" s="7" t="inlineStr">
        <is>
          <t>Air</t>
        </is>
      </c>
      <c r="H299" s="8" t="n">
        <v>71</v>
      </c>
      <c r="I299" s="9" t="n">
        <v>6178.9</v>
      </c>
      <c r="J299" s="6" t="inlineStr">
        <is>
          <t>In Transit</t>
        </is>
      </c>
      <c r="K299" s="8" t="n">
        <v>1</v>
      </c>
      <c r="L299" s="8" t="n">
        <v>1</v>
      </c>
      <c r="M299" s="8">
        <f>C299-B299</f>
        <v/>
      </c>
      <c r="N299" s="9">
        <f>I299/H299</f>
        <v/>
      </c>
      <c r="O299" s="6">
        <f>IF(J299="Cancelled","N/A",IF(L299&lt;=K299,"On Time","Late"))</f>
        <v/>
      </c>
    </row>
    <row r="300">
      <c r="A300" s="2" t="inlineStr">
        <is>
          <t>SHP-1299</t>
        </is>
      </c>
      <c r="B300" s="2" t="inlineStr">
        <is>
          <t>2026-01-08</t>
        </is>
      </c>
      <c r="C300" s="2" t="inlineStr">
        <is>
          <t>2026-01-09</t>
        </is>
      </c>
      <c r="D300" s="3" t="inlineStr">
        <is>
          <t>Hub-East</t>
        </is>
      </c>
      <c r="E300" s="3" t="inlineStr">
        <is>
          <t>Kolkata</t>
        </is>
      </c>
      <c r="F300" s="3" t="inlineStr">
        <is>
          <t>ApexCargo</t>
        </is>
      </c>
      <c r="G300" s="3" t="inlineStr">
        <is>
          <t>Rail</t>
        </is>
      </c>
      <c r="H300" s="4" t="n">
        <v>1847</v>
      </c>
      <c r="I300" s="5" t="n">
        <v>35843.96</v>
      </c>
      <c r="J300" s="2" t="inlineStr">
        <is>
          <t>Delivered</t>
        </is>
      </c>
      <c r="K300" s="4" t="n">
        <v>5</v>
      </c>
      <c r="L300" s="4" t="n">
        <v>7</v>
      </c>
      <c r="M300" s="4">
        <f>C300-B300</f>
        <v/>
      </c>
      <c r="N300" s="5">
        <f>I300/H300</f>
        <v/>
      </c>
      <c r="O300" s="2">
        <f>IF(J300="Cancelled","N/A",IF(L300&lt;=K300,"On Time","Late"))</f>
        <v/>
      </c>
    </row>
    <row r="301">
      <c r="A301" s="6" t="inlineStr">
        <is>
          <t>SHP-1300</t>
        </is>
      </c>
      <c r="B301" s="6" t="inlineStr">
        <is>
          <t>2026-01-09</t>
        </is>
      </c>
      <c r="C301" s="6" t="inlineStr">
        <is>
          <t>2026-01-09</t>
        </is>
      </c>
      <c r="D301" s="7" t="inlineStr">
        <is>
          <t>Hub-West</t>
        </is>
      </c>
      <c r="E301" s="7" t="inlineStr">
        <is>
          <t>Pune</t>
        </is>
      </c>
      <c r="F301" s="7" t="inlineStr">
        <is>
          <t>MetroEx</t>
        </is>
      </c>
      <c r="G301" s="7" t="inlineStr">
        <is>
          <t>Rail</t>
        </is>
      </c>
      <c r="H301" s="8" t="n">
        <v>1559</v>
      </c>
      <c r="I301" s="9" t="n">
        <v>30914.77</v>
      </c>
      <c r="J301" s="6" t="inlineStr">
        <is>
          <t>Delivered</t>
        </is>
      </c>
      <c r="K301" s="8" t="n">
        <v>7</v>
      </c>
      <c r="L301" s="8" t="n">
        <v>7</v>
      </c>
      <c r="M301" s="8">
        <f>C301-B301</f>
        <v/>
      </c>
      <c r="N301" s="9">
        <f>I301/H301</f>
        <v/>
      </c>
      <c r="O301" s="6">
        <f>IF(J301="Cancelled","N/A",IF(L301&lt;=K301,"On Time","Late"))</f>
        <v/>
      </c>
    </row>
    <row r="302">
      <c r="A302" s="2" t="inlineStr">
        <is>
          <t>SHP-1301</t>
        </is>
      </c>
      <c r="B302" s="2" t="inlineStr">
        <is>
          <t>2026-01-09</t>
        </is>
      </c>
      <c r="C302" s="2" t="inlineStr">
        <is>
          <t>2026-01-10</t>
        </is>
      </c>
      <c r="D302" s="3" t="inlineStr">
        <is>
          <t>Hub-East</t>
        </is>
      </c>
      <c r="E302" s="3" t="inlineStr">
        <is>
          <t>Mumbai</t>
        </is>
      </c>
      <c r="F302" s="3" t="inlineStr">
        <is>
          <t>MetroEx</t>
        </is>
      </c>
      <c r="G302" s="3" t="inlineStr">
        <is>
          <t>Air</t>
        </is>
      </c>
      <c r="H302" s="4" t="n">
        <v>79</v>
      </c>
      <c r="I302" s="5" t="n">
        <v>8163.46</v>
      </c>
      <c r="J302" s="2" t="inlineStr">
        <is>
          <t>Delivered</t>
        </is>
      </c>
      <c r="K302" s="4" t="n">
        <v>2</v>
      </c>
      <c r="L302" s="4" t="n">
        <v>2</v>
      </c>
      <c r="M302" s="4">
        <f>C302-B302</f>
        <v/>
      </c>
      <c r="N302" s="5">
        <f>I302/H302</f>
        <v/>
      </c>
      <c r="O302" s="2">
        <f>IF(J302="Cancelled","N/A",IF(L302&lt;=K302,"On Time","Late"))</f>
        <v/>
      </c>
    </row>
    <row r="303">
      <c r="A303" s="6" t="inlineStr">
        <is>
          <t>SHP-1302</t>
        </is>
      </c>
      <c r="B303" s="6" t="inlineStr">
        <is>
          <t>2026-01-30</t>
        </is>
      </c>
      <c r="C303" s="6" t="inlineStr">
        <is>
          <t>2026-02-01</t>
        </is>
      </c>
      <c r="D303" s="7" t="inlineStr">
        <is>
          <t>Hub-North</t>
        </is>
      </c>
      <c r="E303" s="7" t="inlineStr">
        <is>
          <t>Mumbai</t>
        </is>
      </c>
      <c r="F303" s="7" t="inlineStr">
        <is>
          <t>MetroEx</t>
        </is>
      </c>
      <c r="G303" s="7" t="inlineStr">
        <is>
          <t>Rail</t>
        </is>
      </c>
      <c r="H303" s="8" t="n">
        <v>841</v>
      </c>
      <c r="I303" s="9" t="n">
        <v>13184.25</v>
      </c>
      <c r="J303" s="6" t="inlineStr">
        <is>
          <t>Delivered</t>
        </is>
      </c>
      <c r="K303" s="8" t="n">
        <v>7</v>
      </c>
      <c r="L303" s="8" t="n">
        <v>8</v>
      </c>
      <c r="M303" s="8">
        <f>C303-B303</f>
        <v/>
      </c>
      <c r="N303" s="9">
        <f>I303/H303</f>
        <v/>
      </c>
      <c r="O303" s="6">
        <f>IF(J303="Cancelled","N/A",IF(L303&lt;=K303,"On Time","Late"))</f>
        <v/>
      </c>
    </row>
    <row r="304">
      <c r="A304" s="2" t="inlineStr">
        <is>
          <t>SHP-1303</t>
        </is>
      </c>
      <c r="B304" s="2" t="inlineStr">
        <is>
          <t>2026-02-13</t>
        </is>
      </c>
      <c r="C304" s="2" t="inlineStr">
        <is>
          <t>2026-02-13</t>
        </is>
      </c>
      <c r="D304" s="3" t="inlineStr">
        <is>
          <t>Hub-West</t>
        </is>
      </c>
      <c r="E304" s="3" t="inlineStr">
        <is>
          <t>Mumbai</t>
        </is>
      </c>
      <c r="F304" s="3" t="inlineStr">
        <is>
          <t>SwiftLog</t>
        </is>
      </c>
      <c r="G304" s="3" t="inlineStr">
        <is>
          <t>Ground</t>
        </is>
      </c>
      <c r="H304" s="4" t="n">
        <v>275</v>
      </c>
      <c r="I304" s="5" t="n">
        <v>7127.9</v>
      </c>
      <c r="J304" s="2" t="inlineStr">
        <is>
          <t>In Transit</t>
        </is>
      </c>
      <c r="K304" s="4" t="n">
        <v>4</v>
      </c>
      <c r="L304" s="4" t="n">
        <v>4</v>
      </c>
      <c r="M304" s="4">
        <f>C304-B304</f>
        <v/>
      </c>
      <c r="N304" s="5">
        <f>I304/H304</f>
        <v/>
      </c>
      <c r="O304" s="2">
        <f>IF(J304="Cancelled","N/A",IF(L304&lt;=K304,"On Time","Late"))</f>
        <v/>
      </c>
    </row>
    <row r="305">
      <c r="A305" s="6" t="inlineStr">
        <is>
          <t>SHP-1304</t>
        </is>
      </c>
      <c r="B305" s="6" t="inlineStr">
        <is>
          <t>2026-01-10</t>
        </is>
      </c>
      <c r="C305" s="6" t="inlineStr">
        <is>
          <t>2026-01-10</t>
        </is>
      </c>
      <c r="D305" s="7" t="inlineStr">
        <is>
          <t>Hub-East</t>
        </is>
      </c>
      <c r="E305" s="7" t="inlineStr">
        <is>
          <t>Ahmedabad</t>
        </is>
      </c>
      <c r="F305" s="7" t="inlineStr">
        <is>
          <t>SwiftLog</t>
        </is>
      </c>
      <c r="G305" s="7" t="inlineStr">
        <is>
          <t>Air</t>
        </is>
      </c>
      <c r="H305" s="8" t="n">
        <v>73</v>
      </c>
      <c r="I305" s="9" t="n">
        <v>7268.54</v>
      </c>
      <c r="J305" s="6" t="inlineStr">
        <is>
          <t>Delivered</t>
        </is>
      </c>
      <c r="K305" s="8" t="n">
        <v>2</v>
      </c>
      <c r="L305" s="8" t="n">
        <v>1</v>
      </c>
      <c r="M305" s="8">
        <f>C305-B305</f>
        <v/>
      </c>
      <c r="N305" s="9">
        <f>I305/H305</f>
        <v/>
      </c>
      <c r="O305" s="6">
        <f>IF(J305="Cancelled","N/A",IF(L305&lt;=K305,"On Time","Late"))</f>
        <v/>
      </c>
    </row>
    <row r="306">
      <c r="A306" s="2" t="inlineStr">
        <is>
          <t>SHP-1305</t>
        </is>
      </c>
      <c r="B306" s="2" t="inlineStr">
        <is>
          <t>2026-02-06</t>
        </is>
      </c>
      <c r="C306" s="2" t="inlineStr">
        <is>
          <t>2026-02-07</t>
        </is>
      </c>
      <c r="D306" s="3" t="inlineStr">
        <is>
          <t>Hub-East</t>
        </is>
      </c>
      <c r="E306" s="3" t="inlineStr">
        <is>
          <t>Mumbai</t>
        </is>
      </c>
      <c r="F306" s="3" t="inlineStr">
        <is>
          <t>SwiftLog</t>
        </is>
      </c>
      <c r="G306" s="3" t="inlineStr">
        <is>
          <t>Ground</t>
        </is>
      </c>
      <c r="H306" s="4" t="n">
        <v>561</v>
      </c>
      <c r="I306" s="5" t="n">
        <v>19811.99</v>
      </c>
      <c r="J306" s="2" t="inlineStr">
        <is>
          <t>In Transit</t>
        </is>
      </c>
      <c r="K306" s="4" t="n">
        <v>3</v>
      </c>
      <c r="L306" s="4" t="n">
        <v>3</v>
      </c>
      <c r="M306" s="4">
        <f>C306-B306</f>
        <v/>
      </c>
      <c r="N306" s="5">
        <f>I306/H306</f>
        <v/>
      </c>
      <c r="O306" s="2">
        <f>IF(J306="Cancelled","N/A",IF(L306&lt;=K306,"On Time","Late"))</f>
        <v/>
      </c>
    </row>
    <row r="307">
      <c r="A307" s="6" t="inlineStr">
        <is>
          <t>SHP-1306</t>
        </is>
      </c>
      <c r="B307" s="6" t="inlineStr">
        <is>
          <t>2026-01-05</t>
        </is>
      </c>
      <c r="C307" s="6" t="inlineStr">
        <is>
          <t>2026-01-06</t>
        </is>
      </c>
      <c r="D307" s="7" t="inlineStr">
        <is>
          <t>Hub-North</t>
        </is>
      </c>
      <c r="E307" s="7" t="inlineStr">
        <is>
          <t>Kolkata</t>
        </is>
      </c>
      <c r="F307" s="7" t="inlineStr">
        <is>
          <t>MetroEx</t>
        </is>
      </c>
      <c r="G307" s="7" t="inlineStr">
        <is>
          <t>Ground</t>
        </is>
      </c>
      <c r="H307" s="8" t="n">
        <v>433</v>
      </c>
      <c r="I307" s="9" t="n">
        <v>14780.42</v>
      </c>
      <c r="J307" s="6" t="inlineStr">
        <is>
          <t>Delivered</t>
        </is>
      </c>
      <c r="K307" s="8" t="n">
        <v>4</v>
      </c>
      <c r="L307" s="8" t="n">
        <v>4</v>
      </c>
      <c r="M307" s="8">
        <f>C307-B307</f>
        <v/>
      </c>
      <c r="N307" s="9">
        <f>I307/H307</f>
        <v/>
      </c>
      <c r="O307" s="6">
        <f>IF(J307="Cancelled","N/A",IF(L307&lt;=K307,"On Time","Late"))</f>
        <v/>
      </c>
    </row>
    <row r="308">
      <c r="A308" s="2" t="inlineStr">
        <is>
          <t>SHP-1307</t>
        </is>
      </c>
      <c r="B308" s="2" t="inlineStr">
        <is>
          <t>2026-02-06</t>
        </is>
      </c>
      <c r="C308" s="2" t="inlineStr">
        <is>
          <t>2026-02-07</t>
        </is>
      </c>
      <c r="D308" s="3" t="inlineStr">
        <is>
          <t>Hub-West</t>
        </is>
      </c>
      <c r="E308" s="3" t="inlineStr">
        <is>
          <t>Pune</t>
        </is>
      </c>
      <c r="F308" s="3" t="inlineStr">
        <is>
          <t>MetroEx</t>
        </is>
      </c>
      <c r="G308" s="3" t="inlineStr">
        <is>
          <t>Rail</t>
        </is>
      </c>
      <c r="H308" s="4" t="n">
        <v>1510</v>
      </c>
      <c r="I308" s="5" t="n">
        <v>33186.59</v>
      </c>
      <c r="J308" s="2" t="inlineStr">
        <is>
          <t>Delivered</t>
        </is>
      </c>
      <c r="K308" s="4" t="n">
        <v>6</v>
      </c>
      <c r="L308" s="4" t="n">
        <v>6</v>
      </c>
      <c r="M308" s="4">
        <f>C308-B308</f>
        <v/>
      </c>
      <c r="N308" s="5">
        <f>I308/H308</f>
        <v/>
      </c>
      <c r="O308" s="2">
        <f>IF(J308="Cancelled","N/A",IF(L308&lt;=K308,"On Time","Late"))</f>
        <v/>
      </c>
    </row>
    <row r="309">
      <c r="A309" s="6" t="inlineStr">
        <is>
          <t>SHP-1308</t>
        </is>
      </c>
      <c r="B309" s="6" t="inlineStr">
        <is>
          <t>2026-01-01</t>
        </is>
      </c>
      <c r="C309" s="6" t="inlineStr">
        <is>
          <t>2026-01-02</t>
        </is>
      </c>
      <c r="D309" s="7" t="inlineStr">
        <is>
          <t>Hub-East</t>
        </is>
      </c>
      <c r="E309" s="7" t="inlineStr">
        <is>
          <t>Chennai</t>
        </is>
      </c>
      <c r="F309" s="7" t="inlineStr">
        <is>
          <t>ApexCargo</t>
        </is>
      </c>
      <c r="G309" s="7" t="inlineStr">
        <is>
          <t>Air</t>
        </is>
      </c>
      <c r="H309" s="8" t="n">
        <v>12</v>
      </c>
      <c r="I309" s="9" t="n">
        <v>1419.42</v>
      </c>
      <c r="J309" s="6" t="inlineStr">
        <is>
          <t>In Transit</t>
        </is>
      </c>
      <c r="K309" s="8" t="n">
        <v>1</v>
      </c>
      <c r="L309" s="8" t="n">
        <v>1</v>
      </c>
      <c r="M309" s="8">
        <f>C309-B309</f>
        <v/>
      </c>
      <c r="N309" s="9">
        <f>I309/H309</f>
        <v/>
      </c>
      <c r="O309" s="6">
        <f>IF(J309="Cancelled","N/A",IF(L309&lt;=K309,"On Time","Late"))</f>
        <v/>
      </c>
    </row>
    <row r="310">
      <c r="A310" s="2" t="inlineStr">
        <is>
          <t>SHP-1309</t>
        </is>
      </c>
      <c r="B310" s="2" t="inlineStr">
        <is>
          <t>2026-01-20</t>
        </is>
      </c>
      <c r="C310" s="2" t="inlineStr">
        <is>
          <t>2026-01-20</t>
        </is>
      </c>
      <c r="D310" s="3" t="inlineStr">
        <is>
          <t>Hub-West</t>
        </is>
      </c>
      <c r="E310" s="3" t="inlineStr">
        <is>
          <t>Chennai</t>
        </is>
      </c>
      <c r="F310" s="3" t="inlineStr">
        <is>
          <t>MetroEx</t>
        </is>
      </c>
      <c r="G310" s="3" t="inlineStr">
        <is>
          <t>Air</t>
        </is>
      </c>
      <c r="H310" s="4" t="n">
        <v>25</v>
      </c>
      <c r="I310" s="5" t="n">
        <v>2975.99</v>
      </c>
      <c r="J310" s="2" t="inlineStr">
        <is>
          <t>Delivered</t>
        </is>
      </c>
      <c r="K310" s="4" t="n">
        <v>1</v>
      </c>
      <c r="L310" s="4" t="n">
        <v>1</v>
      </c>
      <c r="M310" s="4">
        <f>C310-B310</f>
        <v/>
      </c>
      <c r="N310" s="5">
        <f>I310/H310</f>
        <v/>
      </c>
      <c r="O310" s="2">
        <f>IF(J310="Cancelled","N/A",IF(L310&lt;=K310,"On Time","Late"))</f>
        <v/>
      </c>
    </row>
    <row r="311">
      <c r="A311" s="6" t="inlineStr">
        <is>
          <t>SHP-1310</t>
        </is>
      </c>
      <c r="B311" s="6" t="inlineStr">
        <is>
          <t>2026-01-03</t>
        </is>
      </c>
      <c r="C311" s="6" t="inlineStr">
        <is>
          <t>2026-01-03</t>
        </is>
      </c>
      <c r="D311" s="7" t="inlineStr">
        <is>
          <t>Hub-South</t>
        </is>
      </c>
      <c r="E311" s="7" t="inlineStr">
        <is>
          <t>Hyderabad</t>
        </is>
      </c>
      <c r="F311" s="7" t="inlineStr">
        <is>
          <t>MetroEx</t>
        </is>
      </c>
      <c r="G311" s="7" t="inlineStr">
        <is>
          <t>Rail</t>
        </is>
      </c>
      <c r="H311" s="8" t="n">
        <v>673</v>
      </c>
      <c r="I311" s="9" t="n">
        <v>11984.59</v>
      </c>
      <c r="J311" s="6" t="inlineStr">
        <is>
          <t>In Transit</t>
        </is>
      </c>
      <c r="K311" s="8" t="n">
        <v>6</v>
      </c>
      <c r="L311" s="8" t="n">
        <v>6</v>
      </c>
      <c r="M311" s="8">
        <f>C311-B311</f>
        <v/>
      </c>
      <c r="N311" s="9">
        <f>I311/H311</f>
        <v/>
      </c>
      <c r="O311" s="6">
        <f>IF(J311="Cancelled","N/A",IF(L311&lt;=K311,"On Time","Late"))</f>
        <v/>
      </c>
    </row>
    <row r="312">
      <c r="A312" s="2" t="inlineStr">
        <is>
          <t>SHP-1311</t>
        </is>
      </c>
      <c r="B312" s="2" t="inlineStr">
        <is>
          <t>2026-01-05</t>
        </is>
      </c>
      <c r="C312" s="2" t="inlineStr">
        <is>
          <t>2026-01-07</t>
        </is>
      </c>
      <c r="D312" s="3" t="inlineStr">
        <is>
          <t>Hub-East</t>
        </is>
      </c>
      <c r="E312" s="3" t="inlineStr">
        <is>
          <t>Ahmedabad</t>
        </is>
      </c>
      <c r="F312" s="3" t="inlineStr">
        <is>
          <t>ApexCargo</t>
        </is>
      </c>
      <c r="G312" s="3" t="inlineStr">
        <is>
          <t>Ground</t>
        </is>
      </c>
      <c r="H312" s="4" t="n">
        <v>271</v>
      </c>
      <c r="I312" s="5" t="n">
        <v>8355.879999999999</v>
      </c>
      <c r="J312" s="2" t="inlineStr">
        <is>
          <t>In Transit</t>
        </is>
      </c>
      <c r="K312" s="4" t="n">
        <v>4</v>
      </c>
      <c r="L312" s="4" t="n">
        <v>4</v>
      </c>
      <c r="M312" s="4">
        <f>C312-B312</f>
        <v/>
      </c>
      <c r="N312" s="5">
        <f>I312/H312</f>
        <v/>
      </c>
      <c r="O312" s="2">
        <f>IF(J312="Cancelled","N/A",IF(L312&lt;=K312,"On Time","Late"))</f>
        <v/>
      </c>
    </row>
    <row r="313">
      <c r="A313" s="6" t="inlineStr">
        <is>
          <t>SHP-1312</t>
        </is>
      </c>
      <c r="B313" s="6" t="inlineStr">
        <is>
          <t>2026-02-14</t>
        </is>
      </c>
      <c r="C313" s="6" t="inlineStr">
        <is>
          <t>2026-02-15</t>
        </is>
      </c>
      <c r="D313" s="7" t="inlineStr">
        <is>
          <t>Hub-North</t>
        </is>
      </c>
      <c r="E313" s="7" t="inlineStr">
        <is>
          <t>Pune</t>
        </is>
      </c>
      <c r="F313" s="7" t="inlineStr">
        <is>
          <t>MetroEx</t>
        </is>
      </c>
      <c r="G313" s="7" t="inlineStr">
        <is>
          <t>Ground</t>
        </is>
      </c>
      <c r="H313" s="8" t="n">
        <v>188</v>
      </c>
      <c r="I313" s="9" t="n">
        <v>8247.77</v>
      </c>
      <c r="J313" s="6" t="inlineStr">
        <is>
          <t>Delivered</t>
        </is>
      </c>
      <c r="K313" s="8" t="n">
        <v>3</v>
      </c>
      <c r="L313" s="8" t="n">
        <v>3</v>
      </c>
      <c r="M313" s="8">
        <f>C313-B313</f>
        <v/>
      </c>
      <c r="N313" s="9">
        <f>I313/H313</f>
        <v/>
      </c>
      <c r="O313" s="6">
        <f>IF(J313="Cancelled","N/A",IF(L313&lt;=K313,"On Time","Late"))</f>
        <v/>
      </c>
    </row>
    <row r="314">
      <c r="A314" s="2" t="inlineStr">
        <is>
          <t>SHP-1313</t>
        </is>
      </c>
      <c r="B314" s="2" t="inlineStr">
        <is>
          <t>2026-01-07</t>
        </is>
      </c>
      <c r="C314" s="2" t="inlineStr">
        <is>
          <t>2026-01-07</t>
        </is>
      </c>
      <c r="D314" s="3" t="inlineStr">
        <is>
          <t>Hub-South</t>
        </is>
      </c>
      <c r="E314" s="3" t="inlineStr">
        <is>
          <t>Pune</t>
        </is>
      </c>
      <c r="F314" s="3" t="inlineStr">
        <is>
          <t>MetroEx</t>
        </is>
      </c>
      <c r="G314" s="3" t="inlineStr">
        <is>
          <t>Air</t>
        </is>
      </c>
      <c r="H314" s="4" t="n">
        <v>40</v>
      </c>
      <c r="I314" s="5" t="n">
        <v>4150.29</v>
      </c>
      <c r="J314" s="2" t="inlineStr">
        <is>
          <t>Cancelled</t>
        </is>
      </c>
      <c r="K314" s="4" t="n">
        <v>1</v>
      </c>
      <c r="L314" s="4" t="n">
        <v>0</v>
      </c>
      <c r="M314" s="4">
        <f>C314-B314</f>
        <v/>
      </c>
      <c r="N314" s="5">
        <f>I314/H314</f>
        <v/>
      </c>
      <c r="O314" s="2">
        <f>IF(J314="Cancelled","N/A",IF(L314&lt;=K314,"On Time","Late"))</f>
        <v/>
      </c>
    </row>
    <row r="315">
      <c r="A315" s="6" t="inlineStr">
        <is>
          <t>SHP-1314</t>
        </is>
      </c>
      <c r="B315" s="6" t="inlineStr">
        <is>
          <t>2026-01-20</t>
        </is>
      </c>
      <c r="C315" s="6" t="inlineStr">
        <is>
          <t>2026-01-21</t>
        </is>
      </c>
      <c r="D315" s="7" t="inlineStr">
        <is>
          <t>Hub-North</t>
        </is>
      </c>
      <c r="E315" s="7" t="inlineStr">
        <is>
          <t>Delhi</t>
        </is>
      </c>
      <c r="F315" s="7" t="inlineStr">
        <is>
          <t>SwiftLog</t>
        </is>
      </c>
      <c r="G315" s="7" t="inlineStr">
        <is>
          <t>Ground</t>
        </is>
      </c>
      <c r="H315" s="8" t="n">
        <v>563</v>
      </c>
      <c r="I315" s="9" t="n">
        <v>21799.98</v>
      </c>
      <c r="J315" s="6" t="inlineStr">
        <is>
          <t>Delivered</t>
        </is>
      </c>
      <c r="K315" s="8" t="n">
        <v>5</v>
      </c>
      <c r="L315" s="8" t="n">
        <v>5</v>
      </c>
      <c r="M315" s="8">
        <f>C315-B315</f>
        <v/>
      </c>
      <c r="N315" s="9">
        <f>I315/H315</f>
        <v/>
      </c>
      <c r="O315" s="6">
        <f>IF(J315="Cancelled","N/A",IF(L315&lt;=K315,"On Time","Late"))</f>
        <v/>
      </c>
    </row>
    <row r="316">
      <c r="A316" s="2" t="inlineStr">
        <is>
          <t>SHP-1315</t>
        </is>
      </c>
      <c r="B316" s="2" t="inlineStr">
        <is>
          <t>2026-01-21</t>
        </is>
      </c>
      <c r="C316" s="2" t="inlineStr">
        <is>
          <t>2026-01-21</t>
        </is>
      </c>
      <c r="D316" s="3" t="inlineStr">
        <is>
          <t>Hub-East</t>
        </is>
      </c>
      <c r="E316" s="3" t="inlineStr">
        <is>
          <t>Chennai</t>
        </is>
      </c>
      <c r="F316" s="3" t="inlineStr">
        <is>
          <t>MetroEx</t>
        </is>
      </c>
      <c r="G316" s="3" t="inlineStr">
        <is>
          <t>Air</t>
        </is>
      </c>
      <c r="H316" s="4" t="n">
        <v>141</v>
      </c>
      <c r="I316" s="5" t="n">
        <v>12226.57</v>
      </c>
      <c r="J316" s="2" t="inlineStr">
        <is>
          <t>Delivered</t>
        </is>
      </c>
      <c r="K316" s="4" t="n">
        <v>2</v>
      </c>
      <c r="L316" s="4" t="n">
        <v>2</v>
      </c>
      <c r="M316" s="4">
        <f>C316-B316</f>
        <v/>
      </c>
      <c r="N316" s="5">
        <f>I316/H316</f>
        <v/>
      </c>
      <c r="O316" s="2">
        <f>IF(J316="Cancelled","N/A",IF(L316&lt;=K316,"On Time","Late"))</f>
        <v/>
      </c>
    </row>
    <row r="317">
      <c r="A317" s="6" t="inlineStr">
        <is>
          <t>SHP-1316</t>
        </is>
      </c>
      <c r="B317" s="6" t="inlineStr">
        <is>
          <t>2026-01-02</t>
        </is>
      </c>
      <c r="C317" s="6" t="inlineStr">
        <is>
          <t>2026-01-03</t>
        </is>
      </c>
      <c r="D317" s="7" t="inlineStr">
        <is>
          <t>Hub-South</t>
        </is>
      </c>
      <c r="E317" s="7" t="inlineStr">
        <is>
          <t>Chennai</t>
        </is>
      </c>
      <c r="F317" s="7" t="inlineStr">
        <is>
          <t>SwiftLog</t>
        </is>
      </c>
      <c r="G317" s="7" t="inlineStr">
        <is>
          <t>Air</t>
        </is>
      </c>
      <c r="H317" s="8" t="n">
        <v>36</v>
      </c>
      <c r="I317" s="9" t="n">
        <v>4072.91</v>
      </c>
      <c r="J317" s="6" t="inlineStr">
        <is>
          <t>Delivered</t>
        </is>
      </c>
      <c r="K317" s="8" t="n">
        <v>1</v>
      </c>
      <c r="L317" s="8" t="n">
        <v>1</v>
      </c>
      <c r="M317" s="8">
        <f>C317-B317</f>
        <v/>
      </c>
      <c r="N317" s="9">
        <f>I317/H317</f>
        <v/>
      </c>
      <c r="O317" s="6">
        <f>IF(J317="Cancelled","N/A",IF(L317&lt;=K317,"On Time","Late"))</f>
        <v/>
      </c>
    </row>
    <row r="318">
      <c r="A318" s="2" t="inlineStr">
        <is>
          <t>SHP-1317</t>
        </is>
      </c>
      <c r="B318" s="2" t="inlineStr">
        <is>
          <t>2026-01-04</t>
        </is>
      </c>
      <c r="C318" s="2" t="inlineStr">
        <is>
          <t>2026-01-04</t>
        </is>
      </c>
      <c r="D318" s="3" t="inlineStr">
        <is>
          <t>Hub-West</t>
        </is>
      </c>
      <c r="E318" s="3" t="inlineStr">
        <is>
          <t>Chennai</t>
        </is>
      </c>
      <c r="F318" s="3" t="inlineStr">
        <is>
          <t>MetroEx</t>
        </is>
      </c>
      <c r="G318" s="3" t="inlineStr">
        <is>
          <t>Air</t>
        </is>
      </c>
      <c r="H318" s="4" t="n">
        <v>31</v>
      </c>
      <c r="I318" s="5" t="n">
        <v>3266.82</v>
      </c>
      <c r="J318" s="2" t="inlineStr">
        <is>
          <t>Delivered</t>
        </is>
      </c>
      <c r="K318" s="4" t="n">
        <v>2</v>
      </c>
      <c r="L318" s="4" t="n">
        <v>1</v>
      </c>
      <c r="M318" s="4">
        <f>C318-B318</f>
        <v/>
      </c>
      <c r="N318" s="5">
        <f>I318/H318</f>
        <v/>
      </c>
      <c r="O318" s="2">
        <f>IF(J318="Cancelled","N/A",IF(L318&lt;=K318,"On Time","Late"))</f>
        <v/>
      </c>
    </row>
    <row r="319">
      <c r="A319" s="6" t="inlineStr">
        <is>
          <t>SHP-1318</t>
        </is>
      </c>
      <c r="B319" s="6" t="inlineStr">
        <is>
          <t>2026-01-05</t>
        </is>
      </c>
      <c r="C319" s="6" t="inlineStr">
        <is>
          <t>2026-01-05</t>
        </is>
      </c>
      <c r="D319" s="7" t="inlineStr">
        <is>
          <t>Hub-South</t>
        </is>
      </c>
      <c r="E319" s="7" t="inlineStr">
        <is>
          <t>Bangalore</t>
        </is>
      </c>
      <c r="F319" s="7" t="inlineStr">
        <is>
          <t>SwiftLog</t>
        </is>
      </c>
      <c r="G319" s="7" t="inlineStr">
        <is>
          <t>Air</t>
        </is>
      </c>
      <c r="H319" s="8" t="n">
        <v>41</v>
      </c>
      <c r="I319" s="9" t="n">
        <v>3546.27</v>
      </c>
      <c r="J319" s="6" t="inlineStr">
        <is>
          <t>Delivered</t>
        </is>
      </c>
      <c r="K319" s="8" t="n">
        <v>2</v>
      </c>
      <c r="L319" s="8" t="n">
        <v>2</v>
      </c>
      <c r="M319" s="8">
        <f>C319-B319</f>
        <v/>
      </c>
      <c r="N319" s="9">
        <f>I319/H319</f>
        <v/>
      </c>
      <c r="O319" s="6">
        <f>IF(J319="Cancelled","N/A",IF(L319&lt;=K319,"On Time","Late"))</f>
        <v/>
      </c>
    </row>
    <row r="320">
      <c r="A320" s="2" t="inlineStr">
        <is>
          <t>SHP-1319</t>
        </is>
      </c>
      <c r="B320" s="2" t="inlineStr">
        <is>
          <t>2026-02-06</t>
        </is>
      </c>
      <c r="C320" s="2" t="inlineStr">
        <is>
          <t>2026-02-07</t>
        </is>
      </c>
      <c r="D320" s="3" t="inlineStr">
        <is>
          <t>Hub-South</t>
        </is>
      </c>
      <c r="E320" s="3" t="inlineStr">
        <is>
          <t>Pune</t>
        </is>
      </c>
      <c r="F320" s="3" t="inlineStr">
        <is>
          <t>SwiftLog</t>
        </is>
      </c>
      <c r="G320" s="3" t="inlineStr">
        <is>
          <t>Air</t>
        </is>
      </c>
      <c r="H320" s="4" t="n">
        <v>119</v>
      </c>
      <c r="I320" s="5" t="n">
        <v>10834.74</v>
      </c>
      <c r="J320" s="2" t="inlineStr">
        <is>
          <t>Delivered</t>
        </is>
      </c>
      <c r="K320" s="4" t="n">
        <v>1</v>
      </c>
      <c r="L320" s="4" t="n">
        <v>1</v>
      </c>
      <c r="M320" s="4">
        <f>C320-B320</f>
        <v/>
      </c>
      <c r="N320" s="5">
        <f>I320/H320</f>
        <v/>
      </c>
      <c r="O320" s="2">
        <f>IF(J320="Cancelled","N/A",IF(L320&lt;=K320,"On Time","Late"))</f>
        <v/>
      </c>
    </row>
    <row r="321">
      <c r="A321" s="6" t="inlineStr">
        <is>
          <t>SHP-1320</t>
        </is>
      </c>
      <c r="B321" s="6" t="inlineStr">
        <is>
          <t>2026-01-18</t>
        </is>
      </c>
      <c r="C321" s="6" t="inlineStr">
        <is>
          <t>2026-01-19</t>
        </is>
      </c>
      <c r="D321" s="7" t="inlineStr">
        <is>
          <t>Hub-West</t>
        </is>
      </c>
      <c r="E321" s="7" t="inlineStr">
        <is>
          <t>Mumbai</t>
        </is>
      </c>
      <c r="F321" s="7" t="inlineStr">
        <is>
          <t>ApexCargo</t>
        </is>
      </c>
      <c r="G321" s="7" t="inlineStr">
        <is>
          <t>Rail</t>
        </is>
      </c>
      <c r="H321" s="8" t="n">
        <v>1763</v>
      </c>
      <c r="I321" s="9" t="n">
        <v>25489.19</v>
      </c>
      <c r="J321" s="6" t="inlineStr">
        <is>
          <t>Cancelled</t>
        </is>
      </c>
      <c r="K321" s="8" t="n">
        <v>7</v>
      </c>
      <c r="L321" s="8" t="n">
        <v>0</v>
      </c>
      <c r="M321" s="8">
        <f>C321-B321</f>
        <v/>
      </c>
      <c r="N321" s="9">
        <f>I321/H321</f>
        <v/>
      </c>
      <c r="O321" s="6">
        <f>IF(J321="Cancelled","N/A",IF(L321&lt;=K321,"On Time","Late"))</f>
        <v/>
      </c>
    </row>
    <row r="322">
      <c r="A322" s="2" t="inlineStr">
        <is>
          <t>SHP-1321</t>
        </is>
      </c>
      <c r="B322" s="2" t="inlineStr">
        <is>
          <t>2026-01-27</t>
        </is>
      </c>
      <c r="C322" s="2" t="inlineStr">
        <is>
          <t>2026-01-29</t>
        </is>
      </c>
      <c r="D322" s="3" t="inlineStr">
        <is>
          <t>Hub-South</t>
        </is>
      </c>
      <c r="E322" s="3" t="inlineStr">
        <is>
          <t>Mumbai</t>
        </is>
      </c>
      <c r="F322" s="3" t="inlineStr">
        <is>
          <t>SwiftLog</t>
        </is>
      </c>
      <c r="G322" s="3" t="inlineStr">
        <is>
          <t>Air</t>
        </is>
      </c>
      <c r="H322" s="4" t="n">
        <v>108</v>
      </c>
      <c r="I322" s="5" t="n">
        <v>9698.75</v>
      </c>
      <c r="J322" s="2" t="inlineStr">
        <is>
          <t>Delivered</t>
        </is>
      </c>
      <c r="K322" s="4" t="n">
        <v>1</v>
      </c>
      <c r="L322" s="4" t="n">
        <v>3</v>
      </c>
      <c r="M322" s="4">
        <f>C322-B322</f>
        <v/>
      </c>
      <c r="N322" s="5">
        <f>I322/H322</f>
        <v/>
      </c>
      <c r="O322" s="2">
        <f>IF(J322="Cancelled","N/A",IF(L322&lt;=K322,"On Time","Late"))</f>
        <v/>
      </c>
    </row>
    <row r="323">
      <c r="A323" s="6" t="inlineStr">
        <is>
          <t>SHP-1322</t>
        </is>
      </c>
      <c r="B323" s="6" t="inlineStr">
        <is>
          <t>2026-02-04</t>
        </is>
      </c>
      <c r="C323" s="6" t="inlineStr">
        <is>
          <t>2026-02-04</t>
        </is>
      </c>
      <c r="D323" s="7" t="inlineStr">
        <is>
          <t>Hub-South</t>
        </is>
      </c>
      <c r="E323" s="7" t="inlineStr">
        <is>
          <t>Hyderabad</t>
        </is>
      </c>
      <c r="F323" s="7" t="inlineStr">
        <is>
          <t>MetroEx</t>
        </is>
      </c>
      <c r="G323" s="7" t="inlineStr">
        <is>
          <t>Rail</t>
        </is>
      </c>
      <c r="H323" s="8" t="n">
        <v>1492</v>
      </c>
      <c r="I323" s="9" t="n">
        <v>23036.99</v>
      </c>
      <c r="J323" s="6" t="inlineStr">
        <is>
          <t>In Transit</t>
        </is>
      </c>
      <c r="K323" s="8" t="n">
        <v>7</v>
      </c>
      <c r="L323" s="8" t="n">
        <v>7</v>
      </c>
      <c r="M323" s="8">
        <f>C323-B323</f>
        <v/>
      </c>
      <c r="N323" s="9">
        <f>I323/H323</f>
        <v/>
      </c>
      <c r="O323" s="6">
        <f>IF(J323="Cancelled","N/A",IF(L323&lt;=K323,"On Time","Late"))</f>
        <v/>
      </c>
    </row>
    <row r="324">
      <c r="A324" s="2" t="inlineStr">
        <is>
          <t>SHP-1323</t>
        </is>
      </c>
      <c r="B324" s="2" t="inlineStr">
        <is>
          <t>2026-01-18</t>
        </is>
      </c>
      <c r="C324" s="2" t="inlineStr">
        <is>
          <t>2026-01-18</t>
        </is>
      </c>
      <c r="D324" s="3" t="inlineStr">
        <is>
          <t>Hub-East</t>
        </is>
      </c>
      <c r="E324" s="3" t="inlineStr">
        <is>
          <t>Hyderabad</t>
        </is>
      </c>
      <c r="F324" s="3" t="inlineStr">
        <is>
          <t>ApexCargo</t>
        </is>
      </c>
      <c r="G324" s="3" t="inlineStr">
        <is>
          <t>Ground</t>
        </is>
      </c>
      <c r="H324" s="4" t="n">
        <v>165</v>
      </c>
      <c r="I324" s="5" t="n">
        <v>7081.02</v>
      </c>
      <c r="J324" s="2" t="inlineStr">
        <is>
          <t>Delivered</t>
        </is>
      </c>
      <c r="K324" s="4" t="n">
        <v>4</v>
      </c>
      <c r="L324" s="4" t="n">
        <v>4</v>
      </c>
      <c r="M324" s="4">
        <f>C324-B324</f>
        <v/>
      </c>
      <c r="N324" s="5">
        <f>I324/H324</f>
        <v/>
      </c>
      <c r="O324" s="2">
        <f>IF(J324="Cancelled","N/A",IF(L324&lt;=K324,"On Time","Late"))</f>
        <v/>
      </c>
    </row>
    <row r="325">
      <c r="A325" s="6" t="inlineStr">
        <is>
          <t>SHP-1324</t>
        </is>
      </c>
      <c r="B325" s="6" t="inlineStr">
        <is>
          <t>2026-02-03</t>
        </is>
      </c>
      <c r="C325" s="6" t="inlineStr">
        <is>
          <t>2026-02-04</t>
        </is>
      </c>
      <c r="D325" s="7" t="inlineStr">
        <is>
          <t>Hub-West</t>
        </is>
      </c>
      <c r="E325" s="7" t="inlineStr">
        <is>
          <t>Bangalore</t>
        </is>
      </c>
      <c r="F325" s="7" t="inlineStr">
        <is>
          <t>SwiftLog</t>
        </is>
      </c>
      <c r="G325" s="7" t="inlineStr">
        <is>
          <t>Ground</t>
        </is>
      </c>
      <c r="H325" s="8" t="n">
        <v>486</v>
      </c>
      <c r="I325" s="9" t="n">
        <v>14494.01</v>
      </c>
      <c r="J325" s="6" t="inlineStr">
        <is>
          <t>Delivered</t>
        </is>
      </c>
      <c r="K325" s="8" t="n">
        <v>5</v>
      </c>
      <c r="L325" s="8" t="n">
        <v>5</v>
      </c>
      <c r="M325" s="8">
        <f>C325-B325</f>
        <v/>
      </c>
      <c r="N325" s="9">
        <f>I325/H325</f>
        <v/>
      </c>
      <c r="O325" s="6">
        <f>IF(J325="Cancelled","N/A",IF(L325&lt;=K325,"On Time","Late"))</f>
        <v/>
      </c>
    </row>
    <row r="326">
      <c r="A326" s="2" t="inlineStr">
        <is>
          <t>SHP-1325</t>
        </is>
      </c>
      <c r="B326" s="2" t="inlineStr">
        <is>
          <t>2026-02-06</t>
        </is>
      </c>
      <c r="C326" s="2" t="inlineStr">
        <is>
          <t>2026-02-07</t>
        </is>
      </c>
      <c r="D326" s="3" t="inlineStr">
        <is>
          <t>Hub-North</t>
        </is>
      </c>
      <c r="E326" s="3" t="inlineStr">
        <is>
          <t>Bangalore</t>
        </is>
      </c>
      <c r="F326" s="3" t="inlineStr">
        <is>
          <t>SwiftLog</t>
        </is>
      </c>
      <c r="G326" s="3" t="inlineStr">
        <is>
          <t>Ground</t>
        </is>
      </c>
      <c r="H326" s="4" t="n">
        <v>453</v>
      </c>
      <c r="I326" s="5" t="n">
        <v>14206.12</v>
      </c>
      <c r="J326" s="2" t="inlineStr">
        <is>
          <t>Delayed</t>
        </is>
      </c>
      <c r="K326" s="4" t="n">
        <v>5</v>
      </c>
      <c r="L326" s="4" t="n">
        <v>7</v>
      </c>
      <c r="M326" s="4">
        <f>C326-B326</f>
        <v/>
      </c>
      <c r="N326" s="5">
        <f>I326/H326</f>
        <v/>
      </c>
      <c r="O326" s="2">
        <f>IF(J326="Cancelled","N/A",IF(L326&lt;=K326,"On Time","Late"))</f>
        <v/>
      </c>
    </row>
    <row r="327">
      <c r="A327" s="6" t="inlineStr">
        <is>
          <t>SHP-1326</t>
        </is>
      </c>
      <c r="B327" s="6" t="inlineStr">
        <is>
          <t>2026-02-15</t>
        </is>
      </c>
      <c r="C327" s="6" t="inlineStr">
        <is>
          <t>2026-02-16</t>
        </is>
      </c>
      <c r="D327" s="7" t="inlineStr">
        <is>
          <t>Hub-West</t>
        </is>
      </c>
      <c r="E327" s="7" t="inlineStr">
        <is>
          <t>Chennai</t>
        </is>
      </c>
      <c r="F327" s="7" t="inlineStr">
        <is>
          <t>MetroEx</t>
        </is>
      </c>
      <c r="G327" s="7" t="inlineStr">
        <is>
          <t>Rail</t>
        </is>
      </c>
      <c r="H327" s="8" t="n">
        <v>1132</v>
      </c>
      <c r="I327" s="9" t="n">
        <v>15571.3</v>
      </c>
      <c r="J327" s="6" t="inlineStr">
        <is>
          <t>Delivered</t>
        </is>
      </c>
      <c r="K327" s="8" t="n">
        <v>5</v>
      </c>
      <c r="L327" s="8" t="n">
        <v>4</v>
      </c>
      <c r="M327" s="8">
        <f>C327-B327</f>
        <v/>
      </c>
      <c r="N327" s="9">
        <f>I327/H327</f>
        <v/>
      </c>
      <c r="O327" s="6">
        <f>IF(J327="Cancelled","N/A",IF(L327&lt;=K327,"On Time","Late"))</f>
        <v/>
      </c>
    </row>
    <row r="328">
      <c r="A328" s="2" t="inlineStr">
        <is>
          <t>SHP-1327</t>
        </is>
      </c>
      <c r="B328" s="2" t="inlineStr">
        <is>
          <t>2026-01-15</t>
        </is>
      </c>
      <c r="C328" s="2" t="inlineStr">
        <is>
          <t>2026-01-17</t>
        </is>
      </c>
      <c r="D328" s="3" t="inlineStr">
        <is>
          <t>Hub-West</t>
        </is>
      </c>
      <c r="E328" s="3" t="inlineStr">
        <is>
          <t>Mumbai</t>
        </is>
      </c>
      <c r="F328" s="3" t="inlineStr">
        <is>
          <t>ApexCargo</t>
        </is>
      </c>
      <c r="G328" s="3" t="inlineStr">
        <is>
          <t>Air</t>
        </is>
      </c>
      <c r="H328" s="4" t="n">
        <v>10</v>
      </c>
      <c r="I328" s="5" t="n">
        <v>966.11</v>
      </c>
      <c r="J328" s="2" t="inlineStr">
        <is>
          <t>Delivered</t>
        </is>
      </c>
      <c r="K328" s="4" t="n">
        <v>1</v>
      </c>
      <c r="L328" s="4" t="n">
        <v>1</v>
      </c>
      <c r="M328" s="4">
        <f>C328-B328</f>
        <v/>
      </c>
      <c r="N328" s="5">
        <f>I328/H328</f>
        <v/>
      </c>
      <c r="O328" s="2">
        <f>IF(J328="Cancelled","N/A",IF(L328&lt;=K328,"On Time","Late"))</f>
        <v/>
      </c>
    </row>
    <row r="329">
      <c r="A329" s="6" t="inlineStr">
        <is>
          <t>SHP-1328</t>
        </is>
      </c>
      <c r="B329" s="6" t="inlineStr">
        <is>
          <t>2026-02-15</t>
        </is>
      </c>
      <c r="C329" s="6" t="inlineStr">
        <is>
          <t>2026-02-15</t>
        </is>
      </c>
      <c r="D329" s="7" t="inlineStr">
        <is>
          <t>Hub-North</t>
        </is>
      </c>
      <c r="E329" s="7" t="inlineStr">
        <is>
          <t>Mumbai</t>
        </is>
      </c>
      <c r="F329" s="7" t="inlineStr">
        <is>
          <t>SwiftLog</t>
        </is>
      </c>
      <c r="G329" s="7" t="inlineStr">
        <is>
          <t>Ground</t>
        </is>
      </c>
      <c r="H329" s="8" t="n">
        <v>450</v>
      </c>
      <c r="I329" s="9" t="n">
        <v>17592.27</v>
      </c>
      <c r="J329" s="6" t="inlineStr">
        <is>
          <t>Delivered</t>
        </is>
      </c>
      <c r="K329" s="8" t="n">
        <v>3</v>
      </c>
      <c r="L329" s="8" t="n">
        <v>4</v>
      </c>
      <c r="M329" s="8">
        <f>C329-B329</f>
        <v/>
      </c>
      <c r="N329" s="9">
        <f>I329/H329</f>
        <v/>
      </c>
      <c r="O329" s="6">
        <f>IF(J329="Cancelled","N/A",IF(L329&lt;=K329,"On Time","Late"))</f>
        <v/>
      </c>
    </row>
    <row r="330">
      <c r="A330" s="2" t="inlineStr">
        <is>
          <t>SHP-1329</t>
        </is>
      </c>
      <c r="B330" s="2" t="inlineStr">
        <is>
          <t>2026-01-24</t>
        </is>
      </c>
      <c r="C330" s="2" t="inlineStr">
        <is>
          <t>2026-01-24</t>
        </is>
      </c>
      <c r="D330" s="3" t="inlineStr">
        <is>
          <t>Hub-North</t>
        </is>
      </c>
      <c r="E330" s="3" t="inlineStr">
        <is>
          <t>Ahmedabad</t>
        </is>
      </c>
      <c r="F330" s="3" t="inlineStr">
        <is>
          <t>ApexCargo</t>
        </is>
      </c>
      <c r="G330" s="3" t="inlineStr">
        <is>
          <t>Ground</t>
        </is>
      </c>
      <c r="H330" s="4" t="n">
        <v>322</v>
      </c>
      <c r="I330" s="5" t="n">
        <v>9993.370000000001</v>
      </c>
      <c r="J330" s="2" t="inlineStr">
        <is>
          <t>Delivered</t>
        </is>
      </c>
      <c r="K330" s="4" t="n">
        <v>3</v>
      </c>
      <c r="L330" s="4" t="n">
        <v>5</v>
      </c>
      <c r="M330" s="4">
        <f>C330-B330</f>
        <v/>
      </c>
      <c r="N330" s="5">
        <f>I330/H330</f>
        <v/>
      </c>
      <c r="O330" s="2">
        <f>IF(J330="Cancelled","N/A",IF(L330&lt;=K330,"On Time","Late"))</f>
        <v/>
      </c>
    </row>
    <row r="331">
      <c r="A331" s="6" t="inlineStr">
        <is>
          <t>SHP-1330</t>
        </is>
      </c>
      <c r="B331" s="6" t="inlineStr">
        <is>
          <t>2026-01-28</t>
        </is>
      </c>
      <c r="C331" s="6" t="inlineStr">
        <is>
          <t>2026-01-29</t>
        </is>
      </c>
      <c r="D331" s="7" t="inlineStr">
        <is>
          <t>Hub-North</t>
        </is>
      </c>
      <c r="E331" s="7" t="inlineStr">
        <is>
          <t>Bangalore</t>
        </is>
      </c>
      <c r="F331" s="7" t="inlineStr">
        <is>
          <t>ApexCargo</t>
        </is>
      </c>
      <c r="G331" s="7" t="inlineStr">
        <is>
          <t>Rail</t>
        </is>
      </c>
      <c r="H331" s="8" t="n">
        <v>1920</v>
      </c>
      <c r="I331" s="9" t="n">
        <v>40120.32</v>
      </c>
      <c r="J331" s="6" t="inlineStr">
        <is>
          <t>Delivered</t>
        </is>
      </c>
      <c r="K331" s="8" t="n">
        <v>7</v>
      </c>
      <c r="L331" s="8" t="n">
        <v>9</v>
      </c>
      <c r="M331" s="8">
        <f>C331-B331</f>
        <v/>
      </c>
      <c r="N331" s="9">
        <f>I331/H331</f>
        <v/>
      </c>
      <c r="O331" s="6">
        <f>IF(J331="Cancelled","N/A",IF(L331&lt;=K331,"On Time","Late"))</f>
        <v/>
      </c>
    </row>
    <row r="332">
      <c r="A332" s="2" t="inlineStr">
        <is>
          <t>SHP-1331</t>
        </is>
      </c>
      <c r="B332" s="2" t="inlineStr">
        <is>
          <t>2026-02-07</t>
        </is>
      </c>
      <c r="C332" s="2" t="inlineStr">
        <is>
          <t>2026-02-07</t>
        </is>
      </c>
      <c r="D332" s="3" t="inlineStr">
        <is>
          <t>Hub-South</t>
        </is>
      </c>
      <c r="E332" s="3" t="inlineStr">
        <is>
          <t>Kolkata</t>
        </is>
      </c>
      <c r="F332" s="3" t="inlineStr">
        <is>
          <t>ApexCargo</t>
        </is>
      </c>
      <c r="G332" s="3" t="inlineStr">
        <is>
          <t>Rail</t>
        </is>
      </c>
      <c r="H332" s="4" t="n">
        <v>1103</v>
      </c>
      <c r="I332" s="5" t="n">
        <v>14640.65</v>
      </c>
      <c r="J332" s="2" t="inlineStr">
        <is>
          <t>In Transit</t>
        </is>
      </c>
      <c r="K332" s="4" t="n">
        <v>5</v>
      </c>
      <c r="L332" s="4" t="n">
        <v>5</v>
      </c>
      <c r="M332" s="4">
        <f>C332-B332</f>
        <v/>
      </c>
      <c r="N332" s="5">
        <f>I332/H332</f>
        <v/>
      </c>
      <c r="O332" s="2">
        <f>IF(J332="Cancelled","N/A",IF(L332&lt;=K332,"On Time","Late"))</f>
        <v/>
      </c>
    </row>
    <row r="333">
      <c r="A333" s="6" t="inlineStr">
        <is>
          <t>SHP-1332</t>
        </is>
      </c>
      <c r="B333" s="6" t="inlineStr">
        <is>
          <t>2026-02-06</t>
        </is>
      </c>
      <c r="C333" s="6" t="inlineStr">
        <is>
          <t>2026-02-06</t>
        </is>
      </c>
      <c r="D333" s="7" t="inlineStr">
        <is>
          <t>Hub-West</t>
        </is>
      </c>
      <c r="E333" s="7" t="inlineStr">
        <is>
          <t>Hyderabad</t>
        </is>
      </c>
      <c r="F333" s="7" t="inlineStr">
        <is>
          <t>ApexCargo</t>
        </is>
      </c>
      <c r="G333" s="7" t="inlineStr">
        <is>
          <t>Ground</t>
        </is>
      </c>
      <c r="H333" s="8" t="n">
        <v>477</v>
      </c>
      <c r="I333" s="9" t="n">
        <v>17320.35</v>
      </c>
      <c r="J333" s="6" t="inlineStr">
        <is>
          <t>Delivered</t>
        </is>
      </c>
      <c r="K333" s="8" t="n">
        <v>4</v>
      </c>
      <c r="L333" s="8" t="n">
        <v>4</v>
      </c>
      <c r="M333" s="8">
        <f>C333-B333</f>
        <v/>
      </c>
      <c r="N333" s="9">
        <f>I333/H333</f>
        <v/>
      </c>
      <c r="O333" s="6">
        <f>IF(J333="Cancelled","N/A",IF(L333&lt;=K333,"On Time","Late"))</f>
        <v/>
      </c>
    </row>
    <row r="334">
      <c r="A334" s="2" t="inlineStr">
        <is>
          <t>SHP-1333</t>
        </is>
      </c>
      <c r="B334" s="2" t="inlineStr">
        <is>
          <t>2026-01-05</t>
        </is>
      </c>
      <c r="C334" s="2" t="inlineStr">
        <is>
          <t>2026-01-05</t>
        </is>
      </c>
      <c r="D334" s="3" t="inlineStr">
        <is>
          <t>Hub-North</t>
        </is>
      </c>
      <c r="E334" s="3" t="inlineStr">
        <is>
          <t>Hyderabad</t>
        </is>
      </c>
      <c r="F334" s="3" t="inlineStr">
        <is>
          <t>SwiftLog</t>
        </is>
      </c>
      <c r="G334" s="3" t="inlineStr">
        <is>
          <t>Rail</t>
        </is>
      </c>
      <c r="H334" s="4" t="n">
        <v>681</v>
      </c>
      <c r="I334" s="5" t="n">
        <v>13767.52</v>
      </c>
      <c r="J334" s="2" t="inlineStr">
        <is>
          <t>Cancelled</t>
        </is>
      </c>
      <c r="K334" s="4" t="n">
        <v>7</v>
      </c>
      <c r="L334" s="4" t="n">
        <v>0</v>
      </c>
      <c r="M334" s="4">
        <f>C334-B334</f>
        <v/>
      </c>
      <c r="N334" s="5">
        <f>I334/H334</f>
        <v/>
      </c>
      <c r="O334" s="2">
        <f>IF(J334="Cancelled","N/A",IF(L334&lt;=K334,"On Time","Late"))</f>
        <v/>
      </c>
    </row>
    <row r="335">
      <c r="A335" s="6" t="inlineStr">
        <is>
          <t>SHP-1334</t>
        </is>
      </c>
      <c r="B335" s="6" t="inlineStr">
        <is>
          <t>2026-01-01</t>
        </is>
      </c>
      <c r="C335" s="6" t="inlineStr">
        <is>
          <t>2026-01-02</t>
        </is>
      </c>
      <c r="D335" s="7" t="inlineStr">
        <is>
          <t>Hub-West</t>
        </is>
      </c>
      <c r="E335" s="7" t="inlineStr">
        <is>
          <t>Chennai</t>
        </is>
      </c>
      <c r="F335" s="7" t="inlineStr">
        <is>
          <t>ApexCargo</t>
        </is>
      </c>
      <c r="G335" s="7" t="inlineStr">
        <is>
          <t>Ground</t>
        </is>
      </c>
      <c r="H335" s="8" t="n">
        <v>329</v>
      </c>
      <c r="I335" s="9" t="n">
        <v>9913.809999999999</v>
      </c>
      <c r="J335" s="6" t="inlineStr">
        <is>
          <t>Delivered</t>
        </is>
      </c>
      <c r="K335" s="8" t="n">
        <v>3</v>
      </c>
      <c r="L335" s="8" t="n">
        <v>2</v>
      </c>
      <c r="M335" s="8">
        <f>C335-B335</f>
        <v/>
      </c>
      <c r="N335" s="9">
        <f>I335/H335</f>
        <v/>
      </c>
      <c r="O335" s="6">
        <f>IF(J335="Cancelled","N/A",IF(L335&lt;=K335,"On Time","Late"))</f>
        <v/>
      </c>
    </row>
    <row r="336">
      <c r="A336" s="2" t="inlineStr">
        <is>
          <t>SHP-1335</t>
        </is>
      </c>
      <c r="B336" s="2" t="inlineStr">
        <is>
          <t>2026-01-25</t>
        </is>
      </c>
      <c r="C336" s="2" t="inlineStr">
        <is>
          <t>2026-01-26</t>
        </is>
      </c>
      <c r="D336" s="3" t="inlineStr">
        <is>
          <t>Hub-South</t>
        </is>
      </c>
      <c r="E336" s="3" t="inlineStr">
        <is>
          <t>Bangalore</t>
        </is>
      </c>
      <c r="F336" s="3" t="inlineStr">
        <is>
          <t>MetroEx</t>
        </is>
      </c>
      <c r="G336" s="3" t="inlineStr">
        <is>
          <t>Air</t>
        </is>
      </c>
      <c r="H336" s="4" t="n">
        <v>106</v>
      </c>
      <c r="I336" s="5" t="n">
        <v>10313.07</v>
      </c>
      <c r="J336" s="2" t="inlineStr">
        <is>
          <t>Delivered</t>
        </is>
      </c>
      <c r="K336" s="4" t="n">
        <v>2</v>
      </c>
      <c r="L336" s="4" t="n">
        <v>2</v>
      </c>
      <c r="M336" s="4">
        <f>C336-B336</f>
        <v/>
      </c>
      <c r="N336" s="5">
        <f>I336/H336</f>
        <v/>
      </c>
      <c r="O336" s="2">
        <f>IF(J336="Cancelled","N/A",IF(L336&lt;=K336,"On Time","Late"))</f>
        <v/>
      </c>
    </row>
    <row r="337">
      <c r="A337" s="6" t="inlineStr">
        <is>
          <t>SHP-1336</t>
        </is>
      </c>
      <c r="B337" s="6" t="inlineStr">
        <is>
          <t>2026-02-06</t>
        </is>
      </c>
      <c r="C337" s="6" t="inlineStr">
        <is>
          <t>2026-02-06</t>
        </is>
      </c>
      <c r="D337" s="7" t="inlineStr">
        <is>
          <t>Hub-West</t>
        </is>
      </c>
      <c r="E337" s="7" t="inlineStr">
        <is>
          <t>Pune</t>
        </is>
      </c>
      <c r="F337" s="7" t="inlineStr">
        <is>
          <t>SwiftLog</t>
        </is>
      </c>
      <c r="G337" s="7" t="inlineStr">
        <is>
          <t>Ground</t>
        </is>
      </c>
      <c r="H337" s="8" t="n">
        <v>300</v>
      </c>
      <c r="I337" s="9" t="n">
        <v>7620.47</v>
      </c>
      <c r="J337" s="6" t="inlineStr">
        <is>
          <t>Delivered</t>
        </is>
      </c>
      <c r="K337" s="8" t="n">
        <v>4</v>
      </c>
      <c r="L337" s="8" t="n">
        <v>3</v>
      </c>
      <c r="M337" s="8">
        <f>C337-B337</f>
        <v/>
      </c>
      <c r="N337" s="9">
        <f>I337/H337</f>
        <v/>
      </c>
      <c r="O337" s="6">
        <f>IF(J337="Cancelled","N/A",IF(L337&lt;=K337,"On Time","Late"))</f>
        <v/>
      </c>
    </row>
    <row r="338">
      <c r="A338" s="2" t="inlineStr">
        <is>
          <t>SHP-1337</t>
        </is>
      </c>
      <c r="B338" s="2" t="inlineStr">
        <is>
          <t>2026-01-22</t>
        </is>
      </c>
      <c r="C338" s="2" t="inlineStr">
        <is>
          <t>2026-01-22</t>
        </is>
      </c>
      <c r="D338" s="3" t="inlineStr">
        <is>
          <t>Hub-South</t>
        </is>
      </c>
      <c r="E338" s="3" t="inlineStr">
        <is>
          <t>Bangalore</t>
        </is>
      </c>
      <c r="F338" s="3" t="inlineStr">
        <is>
          <t>ApexCargo</t>
        </is>
      </c>
      <c r="G338" s="3" t="inlineStr">
        <is>
          <t>Ground</t>
        </is>
      </c>
      <c r="H338" s="4" t="n">
        <v>430</v>
      </c>
      <c r="I338" s="5" t="n">
        <v>18849.77</v>
      </c>
      <c r="J338" s="2" t="inlineStr">
        <is>
          <t>Delayed</t>
        </is>
      </c>
      <c r="K338" s="4" t="n">
        <v>3</v>
      </c>
      <c r="L338" s="4" t="n">
        <v>8</v>
      </c>
      <c r="M338" s="4">
        <f>C338-B338</f>
        <v/>
      </c>
      <c r="N338" s="5">
        <f>I338/H338</f>
        <v/>
      </c>
      <c r="O338" s="2">
        <f>IF(J338="Cancelled","N/A",IF(L338&lt;=K338,"On Time","Late"))</f>
        <v/>
      </c>
    </row>
    <row r="339">
      <c r="A339" s="6" t="inlineStr">
        <is>
          <t>SHP-1338</t>
        </is>
      </c>
      <c r="B339" s="6" t="inlineStr">
        <is>
          <t>2026-02-15</t>
        </is>
      </c>
      <c r="C339" s="6" t="inlineStr">
        <is>
          <t>2026-02-15</t>
        </is>
      </c>
      <c r="D339" s="7" t="inlineStr">
        <is>
          <t>Hub-South</t>
        </is>
      </c>
      <c r="E339" s="7" t="inlineStr">
        <is>
          <t>Bangalore</t>
        </is>
      </c>
      <c r="F339" s="7" t="inlineStr">
        <is>
          <t>ApexCargo</t>
        </is>
      </c>
      <c r="G339" s="7" t="inlineStr">
        <is>
          <t>Air</t>
        </is>
      </c>
      <c r="H339" s="8" t="n">
        <v>50</v>
      </c>
      <c r="I339" s="9" t="n">
        <v>4343.72</v>
      </c>
      <c r="J339" s="6" t="inlineStr">
        <is>
          <t>Delivered</t>
        </is>
      </c>
      <c r="K339" s="8" t="n">
        <v>2</v>
      </c>
      <c r="L339" s="8" t="n">
        <v>2</v>
      </c>
      <c r="M339" s="8">
        <f>C339-B339</f>
        <v/>
      </c>
      <c r="N339" s="9">
        <f>I339/H339</f>
        <v/>
      </c>
      <c r="O339" s="6">
        <f>IF(J339="Cancelled","N/A",IF(L339&lt;=K339,"On Time","Late"))</f>
        <v/>
      </c>
    </row>
    <row r="340">
      <c r="A340" s="2" t="inlineStr">
        <is>
          <t>SHP-1339</t>
        </is>
      </c>
      <c r="B340" s="2" t="inlineStr">
        <is>
          <t>2026-01-27</t>
        </is>
      </c>
      <c r="C340" s="2" t="inlineStr">
        <is>
          <t>2026-01-29</t>
        </is>
      </c>
      <c r="D340" s="3" t="inlineStr">
        <is>
          <t>Hub-North</t>
        </is>
      </c>
      <c r="E340" s="3" t="inlineStr">
        <is>
          <t>Kolkata</t>
        </is>
      </c>
      <c r="F340" s="3" t="inlineStr">
        <is>
          <t>MetroEx</t>
        </is>
      </c>
      <c r="G340" s="3" t="inlineStr">
        <is>
          <t>Ground</t>
        </is>
      </c>
      <c r="H340" s="4" t="n">
        <v>199</v>
      </c>
      <c r="I340" s="5" t="n">
        <v>5172.55</v>
      </c>
      <c r="J340" s="2" t="inlineStr">
        <is>
          <t>Cancelled</t>
        </is>
      </c>
      <c r="K340" s="4" t="n">
        <v>5</v>
      </c>
      <c r="L340" s="4" t="n">
        <v>0</v>
      </c>
      <c r="M340" s="4">
        <f>C340-B340</f>
        <v/>
      </c>
      <c r="N340" s="5">
        <f>I340/H340</f>
        <v/>
      </c>
      <c r="O340" s="2">
        <f>IF(J340="Cancelled","N/A",IF(L340&lt;=K340,"On Time","Late"))</f>
        <v/>
      </c>
    </row>
    <row r="341">
      <c r="A341" s="6" t="inlineStr">
        <is>
          <t>SHP-1340</t>
        </is>
      </c>
      <c r="B341" s="6" t="inlineStr">
        <is>
          <t>2026-01-10</t>
        </is>
      </c>
      <c r="C341" s="6" t="inlineStr">
        <is>
          <t>2026-01-10</t>
        </is>
      </c>
      <c r="D341" s="7" t="inlineStr">
        <is>
          <t>Hub-North</t>
        </is>
      </c>
      <c r="E341" s="7" t="inlineStr">
        <is>
          <t>Mumbai</t>
        </is>
      </c>
      <c r="F341" s="7" t="inlineStr">
        <is>
          <t>MetroEx</t>
        </is>
      </c>
      <c r="G341" s="7" t="inlineStr">
        <is>
          <t>Ground</t>
        </is>
      </c>
      <c r="H341" s="8" t="n">
        <v>300</v>
      </c>
      <c r="I341" s="9" t="n">
        <v>12443.38</v>
      </c>
      <c r="J341" s="6" t="inlineStr">
        <is>
          <t>Cancelled</t>
        </is>
      </c>
      <c r="K341" s="8" t="n">
        <v>5</v>
      </c>
      <c r="L341" s="8" t="n">
        <v>0</v>
      </c>
      <c r="M341" s="8">
        <f>C341-B341</f>
        <v/>
      </c>
      <c r="N341" s="9">
        <f>I341/H341</f>
        <v/>
      </c>
      <c r="O341" s="6">
        <f>IF(J341="Cancelled","N/A",IF(L341&lt;=K341,"On Time","Late"))</f>
        <v/>
      </c>
    </row>
    <row r="342">
      <c r="A342" s="2" t="inlineStr">
        <is>
          <t>SHP-1341</t>
        </is>
      </c>
      <c r="B342" s="2" t="inlineStr">
        <is>
          <t>2026-01-13</t>
        </is>
      </c>
      <c r="C342" s="2" t="inlineStr">
        <is>
          <t>2026-01-13</t>
        </is>
      </c>
      <c r="D342" s="3" t="inlineStr">
        <is>
          <t>Hub-East</t>
        </is>
      </c>
      <c r="E342" s="3" t="inlineStr">
        <is>
          <t>Chennai</t>
        </is>
      </c>
      <c r="F342" s="3" t="inlineStr">
        <is>
          <t>SwiftLog</t>
        </is>
      </c>
      <c r="G342" s="3" t="inlineStr">
        <is>
          <t>Rail</t>
        </is>
      </c>
      <c r="H342" s="4" t="n">
        <v>1097</v>
      </c>
      <c r="I342" s="5" t="n">
        <v>23882.32</v>
      </c>
      <c r="J342" s="2" t="inlineStr">
        <is>
          <t>Delivered</t>
        </is>
      </c>
      <c r="K342" s="4" t="n">
        <v>8</v>
      </c>
      <c r="L342" s="4" t="n">
        <v>8</v>
      </c>
      <c r="M342" s="4">
        <f>C342-B342</f>
        <v/>
      </c>
      <c r="N342" s="5">
        <f>I342/H342</f>
        <v/>
      </c>
      <c r="O342" s="2">
        <f>IF(J342="Cancelled","N/A",IF(L342&lt;=K342,"On Time","Late"))</f>
        <v/>
      </c>
    </row>
    <row r="343">
      <c r="A343" s="6" t="inlineStr">
        <is>
          <t>SHP-1342</t>
        </is>
      </c>
      <c r="B343" s="6" t="inlineStr">
        <is>
          <t>2026-01-26</t>
        </is>
      </c>
      <c r="C343" s="6" t="inlineStr">
        <is>
          <t>2026-01-27</t>
        </is>
      </c>
      <c r="D343" s="7" t="inlineStr">
        <is>
          <t>Hub-South</t>
        </is>
      </c>
      <c r="E343" s="7" t="inlineStr">
        <is>
          <t>Kolkata</t>
        </is>
      </c>
      <c r="F343" s="7" t="inlineStr">
        <is>
          <t>SwiftLog</t>
        </is>
      </c>
      <c r="G343" s="7" t="inlineStr">
        <is>
          <t>Rail</t>
        </is>
      </c>
      <c r="H343" s="8" t="n">
        <v>1614</v>
      </c>
      <c r="I343" s="9" t="n">
        <v>25622.69</v>
      </c>
      <c r="J343" s="6" t="inlineStr">
        <is>
          <t>In Transit</t>
        </is>
      </c>
      <c r="K343" s="8" t="n">
        <v>7</v>
      </c>
      <c r="L343" s="8" t="n">
        <v>7</v>
      </c>
      <c r="M343" s="8">
        <f>C343-B343</f>
        <v/>
      </c>
      <c r="N343" s="9">
        <f>I343/H343</f>
        <v/>
      </c>
      <c r="O343" s="6">
        <f>IF(J343="Cancelled","N/A",IF(L343&lt;=K343,"On Time","Late"))</f>
        <v/>
      </c>
    </row>
    <row r="344">
      <c r="A344" s="2" t="inlineStr">
        <is>
          <t>SHP-1343</t>
        </is>
      </c>
      <c r="B344" s="2" t="inlineStr">
        <is>
          <t>2026-01-24</t>
        </is>
      </c>
      <c r="C344" s="2" t="inlineStr">
        <is>
          <t>2026-01-24</t>
        </is>
      </c>
      <c r="D344" s="3" t="inlineStr">
        <is>
          <t>Hub-South</t>
        </is>
      </c>
      <c r="E344" s="3" t="inlineStr">
        <is>
          <t>Mumbai</t>
        </is>
      </c>
      <c r="F344" s="3" t="inlineStr">
        <is>
          <t>MetroEx</t>
        </is>
      </c>
      <c r="G344" s="3" t="inlineStr">
        <is>
          <t>Air</t>
        </is>
      </c>
      <c r="H344" s="4" t="n">
        <v>129</v>
      </c>
      <c r="I344" s="5" t="n">
        <v>12154.25</v>
      </c>
      <c r="J344" s="2" t="inlineStr">
        <is>
          <t>Delivered</t>
        </is>
      </c>
      <c r="K344" s="4" t="n">
        <v>2</v>
      </c>
      <c r="L344" s="4" t="n">
        <v>2</v>
      </c>
      <c r="M344" s="4">
        <f>C344-B344</f>
        <v/>
      </c>
      <c r="N344" s="5">
        <f>I344/H344</f>
        <v/>
      </c>
      <c r="O344" s="2">
        <f>IF(J344="Cancelled","N/A",IF(L344&lt;=K344,"On Time","Late"))</f>
        <v/>
      </c>
    </row>
    <row r="345">
      <c r="A345" s="6" t="inlineStr">
        <is>
          <t>SHP-1344</t>
        </is>
      </c>
      <c r="B345" s="6" t="inlineStr">
        <is>
          <t>2026-02-14</t>
        </is>
      </c>
      <c r="C345" s="6" t="inlineStr">
        <is>
          <t>2026-02-14</t>
        </is>
      </c>
      <c r="D345" s="7" t="inlineStr">
        <is>
          <t>Hub-East</t>
        </is>
      </c>
      <c r="E345" s="7" t="inlineStr">
        <is>
          <t>Hyderabad</t>
        </is>
      </c>
      <c r="F345" s="7" t="inlineStr">
        <is>
          <t>ApexCargo</t>
        </is>
      </c>
      <c r="G345" s="7" t="inlineStr">
        <is>
          <t>Air</t>
        </is>
      </c>
      <c r="H345" s="8" t="n">
        <v>68</v>
      </c>
      <c r="I345" s="9" t="n">
        <v>7097.57</v>
      </c>
      <c r="J345" s="6" t="inlineStr">
        <is>
          <t>In Transit</t>
        </is>
      </c>
      <c r="K345" s="8" t="n">
        <v>2</v>
      </c>
      <c r="L345" s="8" t="n">
        <v>2</v>
      </c>
      <c r="M345" s="8">
        <f>C345-B345</f>
        <v/>
      </c>
      <c r="N345" s="9">
        <f>I345/H345</f>
        <v/>
      </c>
      <c r="O345" s="6">
        <f>IF(J345="Cancelled","N/A",IF(L345&lt;=K345,"On Time","Late"))</f>
        <v/>
      </c>
    </row>
    <row r="346">
      <c r="A346" s="2" t="inlineStr">
        <is>
          <t>SHP-1345</t>
        </is>
      </c>
      <c r="B346" s="2" t="inlineStr">
        <is>
          <t>2026-02-04</t>
        </is>
      </c>
      <c r="C346" s="2" t="inlineStr">
        <is>
          <t>2026-02-05</t>
        </is>
      </c>
      <c r="D346" s="3" t="inlineStr">
        <is>
          <t>Hub-West</t>
        </is>
      </c>
      <c r="E346" s="3" t="inlineStr">
        <is>
          <t>Pune</t>
        </is>
      </c>
      <c r="F346" s="3" t="inlineStr">
        <is>
          <t>MetroEx</t>
        </is>
      </c>
      <c r="G346" s="3" t="inlineStr">
        <is>
          <t>Ground</t>
        </is>
      </c>
      <c r="H346" s="4" t="n">
        <v>352</v>
      </c>
      <c r="I346" s="5" t="n">
        <v>15155.55</v>
      </c>
      <c r="J346" s="2" t="inlineStr">
        <is>
          <t>Delivered</t>
        </is>
      </c>
      <c r="K346" s="4" t="n">
        <v>5</v>
      </c>
      <c r="L346" s="4" t="n">
        <v>6</v>
      </c>
      <c r="M346" s="4">
        <f>C346-B346</f>
        <v/>
      </c>
      <c r="N346" s="5">
        <f>I346/H346</f>
        <v/>
      </c>
      <c r="O346" s="2">
        <f>IF(J346="Cancelled","N/A",IF(L346&lt;=K346,"On Time","Late"))</f>
        <v/>
      </c>
    </row>
    <row r="347">
      <c r="A347" s="6" t="inlineStr">
        <is>
          <t>SHP-1346</t>
        </is>
      </c>
      <c r="B347" s="6" t="inlineStr">
        <is>
          <t>2026-02-06</t>
        </is>
      </c>
      <c r="C347" s="6" t="inlineStr">
        <is>
          <t>2026-02-08</t>
        </is>
      </c>
      <c r="D347" s="7" t="inlineStr">
        <is>
          <t>Hub-West</t>
        </is>
      </c>
      <c r="E347" s="7" t="inlineStr">
        <is>
          <t>Delhi</t>
        </is>
      </c>
      <c r="F347" s="7" t="inlineStr">
        <is>
          <t>MetroEx</t>
        </is>
      </c>
      <c r="G347" s="7" t="inlineStr">
        <is>
          <t>Ground</t>
        </is>
      </c>
      <c r="H347" s="8" t="n">
        <v>235</v>
      </c>
      <c r="I347" s="9" t="n">
        <v>10444.17</v>
      </c>
      <c r="J347" s="6" t="inlineStr">
        <is>
          <t>Delivered</t>
        </is>
      </c>
      <c r="K347" s="8" t="n">
        <v>3</v>
      </c>
      <c r="L347" s="8" t="n">
        <v>2</v>
      </c>
      <c r="M347" s="8">
        <f>C347-B347</f>
        <v/>
      </c>
      <c r="N347" s="9">
        <f>I347/H347</f>
        <v/>
      </c>
      <c r="O347" s="6">
        <f>IF(J347="Cancelled","N/A",IF(L347&lt;=K347,"On Time","Late"))</f>
        <v/>
      </c>
    </row>
    <row r="348">
      <c r="A348" s="2" t="inlineStr">
        <is>
          <t>SHP-1347</t>
        </is>
      </c>
      <c r="B348" s="2" t="inlineStr">
        <is>
          <t>2026-01-28</t>
        </is>
      </c>
      <c r="C348" s="2" t="inlineStr">
        <is>
          <t>2026-01-28</t>
        </is>
      </c>
      <c r="D348" s="3" t="inlineStr">
        <is>
          <t>Hub-South</t>
        </is>
      </c>
      <c r="E348" s="3" t="inlineStr">
        <is>
          <t>Chennai</t>
        </is>
      </c>
      <c r="F348" s="3" t="inlineStr">
        <is>
          <t>ApexCargo</t>
        </is>
      </c>
      <c r="G348" s="3" t="inlineStr">
        <is>
          <t>Ground</t>
        </is>
      </c>
      <c r="H348" s="4" t="n">
        <v>577</v>
      </c>
      <c r="I348" s="5" t="n">
        <v>21291.85</v>
      </c>
      <c r="J348" s="2" t="inlineStr">
        <is>
          <t>Delivered</t>
        </is>
      </c>
      <c r="K348" s="4" t="n">
        <v>4</v>
      </c>
      <c r="L348" s="4" t="n">
        <v>3</v>
      </c>
      <c r="M348" s="4">
        <f>C348-B348</f>
        <v/>
      </c>
      <c r="N348" s="5">
        <f>I348/H348</f>
        <v/>
      </c>
      <c r="O348" s="2">
        <f>IF(J348="Cancelled","N/A",IF(L348&lt;=K348,"On Time","Late"))</f>
        <v/>
      </c>
    </row>
    <row r="349">
      <c r="A349" s="6" t="inlineStr">
        <is>
          <t>SHP-1348</t>
        </is>
      </c>
      <c r="B349" s="6" t="inlineStr">
        <is>
          <t>2026-01-25</t>
        </is>
      </c>
      <c r="C349" s="6" t="inlineStr">
        <is>
          <t>2026-01-27</t>
        </is>
      </c>
      <c r="D349" s="7" t="inlineStr">
        <is>
          <t>Hub-South</t>
        </is>
      </c>
      <c r="E349" s="7" t="inlineStr">
        <is>
          <t>Hyderabad</t>
        </is>
      </c>
      <c r="F349" s="7" t="inlineStr">
        <is>
          <t>MetroEx</t>
        </is>
      </c>
      <c r="G349" s="7" t="inlineStr">
        <is>
          <t>Rail</t>
        </is>
      </c>
      <c r="H349" s="8" t="n">
        <v>1438</v>
      </c>
      <c r="I349" s="9" t="n">
        <v>30444.79</v>
      </c>
      <c r="J349" s="6" t="inlineStr">
        <is>
          <t>In Transit</t>
        </is>
      </c>
      <c r="K349" s="8" t="n">
        <v>5</v>
      </c>
      <c r="L349" s="8" t="n">
        <v>5</v>
      </c>
      <c r="M349" s="8">
        <f>C349-B349</f>
        <v/>
      </c>
      <c r="N349" s="9">
        <f>I349/H349</f>
        <v/>
      </c>
      <c r="O349" s="6">
        <f>IF(J349="Cancelled","N/A",IF(L349&lt;=K349,"On Time","Late"))</f>
        <v/>
      </c>
    </row>
    <row r="350">
      <c r="A350" s="2" t="inlineStr">
        <is>
          <t>SHP-1349</t>
        </is>
      </c>
      <c r="B350" s="2" t="inlineStr">
        <is>
          <t>2026-01-08</t>
        </is>
      </c>
      <c r="C350" s="2" t="inlineStr">
        <is>
          <t>2026-01-09</t>
        </is>
      </c>
      <c r="D350" s="3" t="inlineStr">
        <is>
          <t>Hub-West</t>
        </is>
      </c>
      <c r="E350" s="3" t="inlineStr">
        <is>
          <t>Bangalore</t>
        </is>
      </c>
      <c r="F350" s="3" t="inlineStr">
        <is>
          <t>ApexCargo</t>
        </is>
      </c>
      <c r="G350" s="3" t="inlineStr">
        <is>
          <t>Rail</t>
        </is>
      </c>
      <c r="H350" s="4" t="n">
        <v>1693</v>
      </c>
      <c r="I350" s="5" t="n">
        <v>33155.33</v>
      </c>
      <c r="J350" s="2" t="inlineStr">
        <is>
          <t>Delivered</t>
        </is>
      </c>
      <c r="K350" s="4" t="n">
        <v>5</v>
      </c>
      <c r="L350" s="4" t="n">
        <v>6</v>
      </c>
      <c r="M350" s="4">
        <f>C350-B350</f>
        <v/>
      </c>
      <c r="N350" s="5">
        <f>I350/H350</f>
        <v/>
      </c>
      <c r="O350" s="2">
        <f>IF(J350="Cancelled","N/A",IF(L350&lt;=K350,"On Time","Late"))</f>
        <v/>
      </c>
    </row>
    <row r="351">
      <c r="A351" s="6" t="inlineStr">
        <is>
          <t>SHP-1350</t>
        </is>
      </c>
      <c r="B351" s="6" t="inlineStr">
        <is>
          <t>2026-01-07</t>
        </is>
      </c>
      <c r="C351" s="6" t="inlineStr">
        <is>
          <t>2026-01-08</t>
        </is>
      </c>
      <c r="D351" s="7" t="inlineStr">
        <is>
          <t>Hub-North</t>
        </is>
      </c>
      <c r="E351" s="7" t="inlineStr">
        <is>
          <t>Ahmedabad</t>
        </is>
      </c>
      <c r="F351" s="7" t="inlineStr">
        <is>
          <t>MetroEx</t>
        </is>
      </c>
      <c r="G351" s="7" t="inlineStr">
        <is>
          <t>Air</t>
        </is>
      </c>
      <c r="H351" s="8" t="n">
        <v>134</v>
      </c>
      <c r="I351" s="9" t="n">
        <v>14072.79</v>
      </c>
      <c r="J351" s="6" t="inlineStr">
        <is>
          <t>Delivered</t>
        </is>
      </c>
      <c r="K351" s="8" t="n">
        <v>2</v>
      </c>
      <c r="L351" s="8" t="n">
        <v>2</v>
      </c>
      <c r="M351" s="8">
        <f>C351-B351</f>
        <v/>
      </c>
      <c r="N351" s="9">
        <f>I351/H351</f>
        <v/>
      </c>
      <c r="O351" s="6">
        <f>IF(J351="Cancelled","N/A",IF(L351&lt;=K351,"On Time","Late"))</f>
        <v/>
      </c>
    </row>
    <row r="352">
      <c r="A352" s="2" t="inlineStr">
        <is>
          <t>SHP-1351</t>
        </is>
      </c>
      <c r="B352" s="2" t="inlineStr">
        <is>
          <t>2026-01-18</t>
        </is>
      </c>
      <c r="C352" s="2" t="inlineStr">
        <is>
          <t>2026-01-19</t>
        </is>
      </c>
      <c r="D352" s="3" t="inlineStr">
        <is>
          <t>Hub-West</t>
        </is>
      </c>
      <c r="E352" s="3" t="inlineStr">
        <is>
          <t>Ahmedabad</t>
        </is>
      </c>
      <c r="F352" s="3" t="inlineStr">
        <is>
          <t>SwiftLog</t>
        </is>
      </c>
      <c r="G352" s="3" t="inlineStr">
        <is>
          <t>Air</t>
        </is>
      </c>
      <c r="H352" s="4" t="n">
        <v>94</v>
      </c>
      <c r="I352" s="5" t="n">
        <v>10261.79</v>
      </c>
      <c r="J352" s="2" t="inlineStr">
        <is>
          <t>Cancelled</t>
        </is>
      </c>
      <c r="K352" s="4" t="n">
        <v>1</v>
      </c>
      <c r="L352" s="4" t="n">
        <v>0</v>
      </c>
      <c r="M352" s="4">
        <f>C352-B352</f>
        <v/>
      </c>
      <c r="N352" s="5">
        <f>I352/H352</f>
        <v/>
      </c>
      <c r="O352" s="2">
        <f>IF(J352="Cancelled","N/A",IF(L352&lt;=K352,"On Time","Late"))</f>
        <v/>
      </c>
    </row>
    <row r="353">
      <c r="A353" s="6" t="inlineStr">
        <is>
          <t>SHP-1352</t>
        </is>
      </c>
      <c r="B353" s="6" t="inlineStr">
        <is>
          <t>2026-01-18</t>
        </is>
      </c>
      <c r="C353" s="6" t="inlineStr">
        <is>
          <t>2026-01-19</t>
        </is>
      </c>
      <c r="D353" s="7" t="inlineStr">
        <is>
          <t>Hub-East</t>
        </is>
      </c>
      <c r="E353" s="7" t="inlineStr">
        <is>
          <t>Hyderabad</t>
        </is>
      </c>
      <c r="F353" s="7" t="inlineStr">
        <is>
          <t>MetroEx</t>
        </is>
      </c>
      <c r="G353" s="7" t="inlineStr">
        <is>
          <t>Air</t>
        </is>
      </c>
      <c r="H353" s="8" t="n">
        <v>81</v>
      </c>
      <c r="I353" s="9" t="n">
        <v>9274.469999999999</v>
      </c>
      <c r="J353" s="6" t="inlineStr">
        <is>
          <t>Delivered</t>
        </is>
      </c>
      <c r="K353" s="8" t="n">
        <v>1</v>
      </c>
      <c r="L353" s="8" t="n">
        <v>1</v>
      </c>
      <c r="M353" s="8">
        <f>C353-B353</f>
        <v/>
      </c>
      <c r="N353" s="9">
        <f>I353/H353</f>
        <v/>
      </c>
      <c r="O353" s="6">
        <f>IF(J353="Cancelled","N/A",IF(L353&lt;=K353,"On Time","Late"))</f>
        <v/>
      </c>
    </row>
    <row r="354">
      <c r="A354" s="2" t="inlineStr">
        <is>
          <t>SHP-1353</t>
        </is>
      </c>
      <c r="B354" s="2" t="inlineStr">
        <is>
          <t>2026-01-20</t>
        </is>
      </c>
      <c r="C354" s="2" t="inlineStr">
        <is>
          <t>2026-01-21</t>
        </is>
      </c>
      <c r="D354" s="3" t="inlineStr">
        <is>
          <t>Hub-North</t>
        </is>
      </c>
      <c r="E354" s="3" t="inlineStr">
        <is>
          <t>Kolkata</t>
        </is>
      </c>
      <c r="F354" s="3" t="inlineStr">
        <is>
          <t>ApexCargo</t>
        </is>
      </c>
      <c r="G354" s="3" t="inlineStr">
        <is>
          <t>Air</t>
        </is>
      </c>
      <c r="H354" s="4" t="n">
        <v>32</v>
      </c>
      <c r="I354" s="5" t="n">
        <v>2930.49</v>
      </c>
      <c r="J354" s="2" t="inlineStr">
        <is>
          <t>In Transit</t>
        </is>
      </c>
      <c r="K354" s="4" t="n">
        <v>1</v>
      </c>
      <c r="L354" s="4" t="n">
        <v>1</v>
      </c>
      <c r="M354" s="4">
        <f>C354-B354</f>
        <v/>
      </c>
      <c r="N354" s="5">
        <f>I354/H354</f>
        <v/>
      </c>
      <c r="O354" s="2">
        <f>IF(J354="Cancelled","N/A",IF(L354&lt;=K354,"On Time","Late"))</f>
        <v/>
      </c>
    </row>
    <row r="355">
      <c r="A355" s="6" t="inlineStr">
        <is>
          <t>SHP-1354</t>
        </is>
      </c>
      <c r="B355" s="6" t="inlineStr">
        <is>
          <t>2026-02-01</t>
        </is>
      </c>
      <c r="C355" s="6" t="inlineStr">
        <is>
          <t>2026-02-03</t>
        </is>
      </c>
      <c r="D355" s="7" t="inlineStr">
        <is>
          <t>Hub-North</t>
        </is>
      </c>
      <c r="E355" s="7" t="inlineStr">
        <is>
          <t>Mumbai</t>
        </is>
      </c>
      <c r="F355" s="7" t="inlineStr">
        <is>
          <t>ApexCargo</t>
        </is>
      </c>
      <c r="G355" s="7" t="inlineStr">
        <is>
          <t>Ground</t>
        </is>
      </c>
      <c r="H355" s="8" t="n">
        <v>183</v>
      </c>
      <c r="I355" s="9" t="n">
        <v>5713.71</v>
      </c>
      <c r="J355" s="6" t="inlineStr">
        <is>
          <t>In Transit</t>
        </is>
      </c>
      <c r="K355" s="8" t="n">
        <v>5</v>
      </c>
      <c r="L355" s="8" t="n">
        <v>5</v>
      </c>
      <c r="M355" s="8">
        <f>C355-B355</f>
        <v/>
      </c>
      <c r="N355" s="9">
        <f>I355/H355</f>
        <v/>
      </c>
      <c r="O355" s="6">
        <f>IF(J355="Cancelled","N/A",IF(L355&lt;=K355,"On Time","Late"))</f>
        <v/>
      </c>
    </row>
    <row r="356">
      <c r="A356" s="2" t="inlineStr">
        <is>
          <t>SHP-1355</t>
        </is>
      </c>
      <c r="B356" s="2" t="inlineStr">
        <is>
          <t>2026-01-09</t>
        </is>
      </c>
      <c r="C356" s="2" t="inlineStr">
        <is>
          <t>2026-01-11</t>
        </is>
      </c>
      <c r="D356" s="3" t="inlineStr">
        <is>
          <t>Hub-East</t>
        </is>
      </c>
      <c r="E356" s="3" t="inlineStr">
        <is>
          <t>Bangalore</t>
        </is>
      </c>
      <c r="F356" s="3" t="inlineStr">
        <is>
          <t>SwiftLog</t>
        </is>
      </c>
      <c r="G356" s="3" t="inlineStr">
        <is>
          <t>Ground</t>
        </is>
      </c>
      <c r="H356" s="4" t="n">
        <v>578</v>
      </c>
      <c r="I356" s="5" t="n">
        <v>15116.17</v>
      </c>
      <c r="J356" s="2" t="inlineStr">
        <is>
          <t>Cancelled</t>
        </is>
      </c>
      <c r="K356" s="4" t="n">
        <v>3</v>
      </c>
      <c r="L356" s="4" t="n">
        <v>0</v>
      </c>
      <c r="M356" s="4">
        <f>C356-B356</f>
        <v/>
      </c>
      <c r="N356" s="5">
        <f>I356/H356</f>
        <v/>
      </c>
      <c r="O356" s="2">
        <f>IF(J356="Cancelled","N/A",IF(L356&lt;=K356,"On Time","Late"))</f>
        <v/>
      </c>
    </row>
    <row r="357">
      <c r="A357" s="6" t="inlineStr">
        <is>
          <t>SHP-1356</t>
        </is>
      </c>
      <c r="B357" s="6" t="inlineStr">
        <is>
          <t>2026-01-04</t>
        </is>
      </c>
      <c r="C357" s="6" t="inlineStr">
        <is>
          <t>2026-01-05</t>
        </is>
      </c>
      <c r="D357" s="7" t="inlineStr">
        <is>
          <t>Hub-West</t>
        </is>
      </c>
      <c r="E357" s="7" t="inlineStr">
        <is>
          <t>Kolkata</t>
        </is>
      </c>
      <c r="F357" s="7" t="inlineStr">
        <is>
          <t>MetroEx</t>
        </is>
      </c>
      <c r="G357" s="7" t="inlineStr">
        <is>
          <t>Air</t>
        </is>
      </c>
      <c r="H357" s="8" t="n">
        <v>139</v>
      </c>
      <c r="I357" s="9" t="n">
        <v>13746.12</v>
      </c>
      <c r="J357" s="6" t="inlineStr">
        <is>
          <t>Delivered</t>
        </is>
      </c>
      <c r="K357" s="8" t="n">
        <v>1</v>
      </c>
      <c r="L357" s="8" t="n">
        <v>1</v>
      </c>
      <c r="M357" s="8">
        <f>C357-B357</f>
        <v/>
      </c>
      <c r="N357" s="9">
        <f>I357/H357</f>
        <v/>
      </c>
      <c r="O357" s="6">
        <f>IF(J357="Cancelled","N/A",IF(L357&lt;=K357,"On Time","Late"))</f>
        <v/>
      </c>
    </row>
    <row r="358">
      <c r="A358" s="2" t="inlineStr">
        <is>
          <t>SHP-1357</t>
        </is>
      </c>
      <c r="B358" s="2" t="inlineStr">
        <is>
          <t>2026-01-24</t>
        </is>
      </c>
      <c r="C358" s="2" t="inlineStr">
        <is>
          <t>2026-01-25</t>
        </is>
      </c>
      <c r="D358" s="3" t="inlineStr">
        <is>
          <t>Hub-South</t>
        </is>
      </c>
      <c r="E358" s="3" t="inlineStr">
        <is>
          <t>Bangalore</t>
        </is>
      </c>
      <c r="F358" s="3" t="inlineStr">
        <is>
          <t>MetroEx</t>
        </is>
      </c>
      <c r="G358" s="3" t="inlineStr">
        <is>
          <t>Rail</t>
        </is>
      </c>
      <c r="H358" s="4" t="n">
        <v>1629</v>
      </c>
      <c r="I358" s="5" t="n">
        <v>25245.59</v>
      </c>
      <c r="J358" s="2" t="inlineStr">
        <is>
          <t>Delivered</t>
        </is>
      </c>
      <c r="K358" s="4" t="n">
        <v>6</v>
      </c>
      <c r="L358" s="4" t="n">
        <v>8</v>
      </c>
      <c r="M358" s="4">
        <f>C358-B358</f>
        <v/>
      </c>
      <c r="N358" s="5">
        <f>I358/H358</f>
        <v/>
      </c>
      <c r="O358" s="2">
        <f>IF(J358="Cancelled","N/A",IF(L358&lt;=K358,"On Time","Late"))</f>
        <v/>
      </c>
    </row>
    <row r="359">
      <c r="A359" s="6" t="inlineStr">
        <is>
          <t>SHP-1358</t>
        </is>
      </c>
      <c r="B359" s="6" t="inlineStr">
        <is>
          <t>2026-02-14</t>
        </is>
      </c>
      <c r="C359" s="6" t="inlineStr">
        <is>
          <t>2026-02-14</t>
        </is>
      </c>
      <c r="D359" s="7" t="inlineStr">
        <is>
          <t>Hub-North</t>
        </is>
      </c>
      <c r="E359" s="7" t="inlineStr">
        <is>
          <t>Mumbai</t>
        </is>
      </c>
      <c r="F359" s="7" t="inlineStr">
        <is>
          <t>MetroEx</t>
        </is>
      </c>
      <c r="G359" s="7" t="inlineStr">
        <is>
          <t>Ground</t>
        </is>
      </c>
      <c r="H359" s="8" t="n">
        <v>233</v>
      </c>
      <c r="I359" s="9" t="n">
        <v>9803.809999999999</v>
      </c>
      <c r="J359" s="6" t="inlineStr">
        <is>
          <t>Delivered</t>
        </is>
      </c>
      <c r="K359" s="8" t="n">
        <v>3</v>
      </c>
      <c r="L359" s="8" t="n">
        <v>5</v>
      </c>
      <c r="M359" s="8">
        <f>C359-B359</f>
        <v/>
      </c>
      <c r="N359" s="9">
        <f>I359/H359</f>
        <v/>
      </c>
      <c r="O359" s="6">
        <f>IF(J359="Cancelled","N/A",IF(L359&lt;=K359,"On Time","Late"))</f>
        <v/>
      </c>
    </row>
    <row r="360">
      <c r="A360" s="2" t="inlineStr">
        <is>
          <t>SHP-1359</t>
        </is>
      </c>
      <c r="B360" s="2" t="inlineStr">
        <is>
          <t>2026-01-15</t>
        </is>
      </c>
      <c r="C360" s="2" t="inlineStr">
        <is>
          <t>2026-01-15</t>
        </is>
      </c>
      <c r="D360" s="3" t="inlineStr">
        <is>
          <t>Hub-North</t>
        </is>
      </c>
      <c r="E360" s="3" t="inlineStr">
        <is>
          <t>Ahmedabad</t>
        </is>
      </c>
      <c r="F360" s="3" t="inlineStr">
        <is>
          <t>ApexCargo</t>
        </is>
      </c>
      <c r="G360" s="3" t="inlineStr">
        <is>
          <t>Ground</t>
        </is>
      </c>
      <c r="H360" s="4" t="n">
        <v>592</v>
      </c>
      <c r="I360" s="5" t="n">
        <v>24038.8</v>
      </c>
      <c r="J360" s="2" t="inlineStr">
        <is>
          <t>Delivered</t>
        </is>
      </c>
      <c r="K360" s="4" t="n">
        <v>5</v>
      </c>
      <c r="L360" s="4" t="n">
        <v>5</v>
      </c>
      <c r="M360" s="4">
        <f>C360-B360</f>
        <v/>
      </c>
      <c r="N360" s="5">
        <f>I360/H360</f>
        <v/>
      </c>
      <c r="O360" s="2">
        <f>IF(J360="Cancelled","N/A",IF(L360&lt;=K360,"On Time","Late"))</f>
        <v/>
      </c>
    </row>
    <row r="361">
      <c r="A361" s="6" t="inlineStr">
        <is>
          <t>SHP-1360</t>
        </is>
      </c>
      <c r="B361" s="6" t="inlineStr">
        <is>
          <t>2026-01-09</t>
        </is>
      </c>
      <c r="C361" s="6" t="inlineStr">
        <is>
          <t>2026-01-09</t>
        </is>
      </c>
      <c r="D361" s="7" t="inlineStr">
        <is>
          <t>Hub-East</t>
        </is>
      </c>
      <c r="E361" s="7" t="inlineStr">
        <is>
          <t>Chennai</t>
        </is>
      </c>
      <c r="F361" s="7" t="inlineStr">
        <is>
          <t>MetroEx</t>
        </is>
      </c>
      <c r="G361" s="7" t="inlineStr">
        <is>
          <t>Rail</t>
        </is>
      </c>
      <c r="H361" s="8" t="n">
        <v>1125</v>
      </c>
      <c r="I361" s="9" t="n">
        <v>21518.33</v>
      </c>
      <c r="J361" s="6" t="inlineStr">
        <is>
          <t>In Transit</t>
        </is>
      </c>
      <c r="K361" s="8" t="n">
        <v>7</v>
      </c>
      <c r="L361" s="8" t="n">
        <v>7</v>
      </c>
      <c r="M361" s="8">
        <f>C361-B361</f>
        <v/>
      </c>
      <c r="N361" s="9">
        <f>I361/H361</f>
        <v/>
      </c>
      <c r="O361" s="6">
        <f>IF(J361="Cancelled","N/A",IF(L361&lt;=K361,"On Time","Late"))</f>
        <v/>
      </c>
    </row>
    <row r="362">
      <c r="A362" s="2" t="inlineStr">
        <is>
          <t>SHP-1361</t>
        </is>
      </c>
      <c r="B362" s="2" t="inlineStr">
        <is>
          <t>2026-01-25</t>
        </is>
      </c>
      <c r="C362" s="2" t="inlineStr">
        <is>
          <t>2026-01-26</t>
        </is>
      </c>
      <c r="D362" s="3" t="inlineStr">
        <is>
          <t>Hub-South</t>
        </is>
      </c>
      <c r="E362" s="3" t="inlineStr">
        <is>
          <t>Kolkata</t>
        </is>
      </c>
      <c r="F362" s="3" t="inlineStr">
        <is>
          <t>SwiftLog</t>
        </is>
      </c>
      <c r="G362" s="3" t="inlineStr">
        <is>
          <t>Air</t>
        </is>
      </c>
      <c r="H362" s="4" t="n">
        <v>87</v>
      </c>
      <c r="I362" s="5" t="n">
        <v>9457.059999999999</v>
      </c>
      <c r="J362" s="2" t="inlineStr">
        <is>
          <t>Delivered</t>
        </is>
      </c>
      <c r="K362" s="4" t="n">
        <v>2</v>
      </c>
      <c r="L362" s="4" t="n">
        <v>1</v>
      </c>
      <c r="M362" s="4">
        <f>C362-B362</f>
        <v/>
      </c>
      <c r="N362" s="5">
        <f>I362/H362</f>
        <v/>
      </c>
      <c r="O362" s="2">
        <f>IF(J362="Cancelled","N/A",IF(L362&lt;=K362,"On Time","Late"))</f>
        <v/>
      </c>
    </row>
    <row r="363">
      <c r="A363" s="6" t="inlineStr">
        <is>
          <t>SHP-1362</t>
        </is>
      </c>
      <c r="B363" s="6" t="inlineStr">
        <is>
          <t>2026-02-02</t>
        </is>
      </c>
      <c r="C363" s="6" t="inlineStr">
        <is>
          <t>2026-02-03</t>
        </is>
      </c>
      <c r="D363" s="7" t="inlineStr">
        <is>
          <t>Hub-North</t>
        </is>
      </c>
      <c r="E363" s="7" t="inlineStr">
        <is>
          <t>Kolkata</t>
        </is>
      </c>
      <c r="F363" s="7" t="inlineStr">
        <is>
          <t>ApexCargo</t>
        </is>
      </c>
      <c r="G363" s="7" t="inlineStr">
        <is>
          <t>Ground</t>
        </is>
      </c>
      <c r="H363" s="8" t="n">
        <v>396</v>
      </c>
      <c r="I363" s="9" t="n">
        <v>10405.59</v>
      </c>
      <c r="J363" s="6" t="inlineStr">
        <is>
          <t>Delayed</t>
        </is>
      </c>
      <c r="K363" s="8" t="n">
        <v>4</v>
      </c>
      <c r="L363" s="8" t="n">
        <v>8</v>
      </c>
      <c r="M363" s="8">
        <f>C363-B363</f>
        <v/>
      </c>
      <c r="N363" s="9">
        <f>I363/H363</f>
        <v/>
      </c>
      <c r="O363" s="6">
        <f>IF(J363="Cancelled","N/A",IF(L363&lt;=K363,"On Time","Late"))</f>
        <v/>
      </c>
    </row>
    <row r="364">
      <c r="A364" s="2" t="inlineStr">
        <is>
          <t>SHP-1363</t>
        </is>
      </c>
      <c r="B364" s="2" t="inlineStr">
        <is>
          <t>2026-01-17</t>
        </is>
      </c>
      <c r="C364" s="2" t="inlineStr">
        <is>
          <t>2026-01-18</t>
        </is>
      </c>
      <c r="D364" s="3" t="inlineStr">
        <is>
          <t>Hub-West</t>
        </is>
      </c>
      <c r="E364" s="3" t="inlineStr">
        <is>
          <t>Bangalore</t>
        </is>
      </c>
      <c r="F364" s="3" t="inlineStr">
        <is>
          <t>ApexCargo</t>
        </is>
      </c>
      <c r="G364" s="3" t="inlineStr">
        <is>
          <t>Ground</t>
        </is>
      </c>
      <c r="H364" s="4" t="n">
        <v>179</v>
      </c>
      <c r="I364" s="5" t="n">
        <v>7358.44</v>
      </c>
      <c r="J364" s="2" t="inlineStr">
        <is>
          <t>In Transit</t>
        </is>
      </c>
      <c r="K364" s="4" t="n">
        <v>5</v>
      </c>
      <c r="L364" s="4" t="n">
        <v>5</v>
      </c>
      <c r="M364" s="4">
        <f>C364-B364</f>
        <v/>
      </c>
      <c r="N364" s="5">
        <f>I364/H364</f>
        <v/>
      </c>
      <c r="O364" s="2">
        <f>IF(J364="Cancelled","N/A",IF(L364&lt;=K364,"On Time","Late"))</f>
        <v/>
      </c>
    </row>
    <row r="365">
      <c r="A365" s="6" t="inlineStr">
        <is>
          <t>SHP-1364</t>
        </is>
      </c>
      <c r="B365" s="6" t="inlineStr">
        <is>
          <t>2026-02-12</t>
        </is>
      </c>
      <c r="C365" s="6" t="inlineStr">
        <is>
          <t>2026-02-13</t>
        </is>
      </c>
      <c r="D365" s="7" t="inlineStr">
        <is>
          <t>Hub-West</t>
        </is>
      </c>
      <c r="E365" s="7" t="inlineStr">
        <is>
          <t>Mumbai</t>
        </is>
      </c>
      <c r="F365" s="7" t="inlineStr">
        <is>
          <t>ApexCargo</t>
        </is>
      </c>
      <c r="G365" s="7" t="inlineStr">
        <is>
          <t>Air</t>
        </is>
      </c>
      <c r="H365" s="8" t="n">
        <v>85</v>
      </c>
      <c r="I365" s="9" t="n">
        <v>7996.79</v>
      </c>
      <c r="J365" s="6" t="inlineStr">
        <is>
          <t>In Transit</t>
        </is>
      </c>
      <c r="K365" s="8" t="n">
        <v>2</v>
      </c>
      <c r="L365" s="8" t="n">
        <v>2</v>
      </c>
      <c r="M365" s="8">
        <f>C365-B365</f>
        <v/>
      </c>
      <c r="N365" s="9">
        <f>I365/H365</f>
        <v/>
      </c>
      <c r="O365" s="6">
        <f>IF(J365="Cancelled","N/A",IF(L365&lt;=K365,"On Time","Late"))</f>
        <v/>
      </c>
    </row>
    <row r="366">
      <c r="A366" s="2" t="inlineStr">
        <is>
          <t>SHP-1365</t>
        </is>
      </c>
      <c r="B366" s="2" t="inlineStr">
        <is>
          <t>2026-01-25</t>
        </is>
      </c>
      <c r="C366" s="2" t="inlineStr">
        <is>
          <t>2026-01-25</t>
        </is>
      </c>
      <c r="D366" s="3" t="inlineStr">
        <is>
          <t>Hub-West</t>
        </is>
      </c>
      <c r="E366" s="3" t="inlineStr">
        <is>
          <t>Hyderabad</t>
        </is>
      </c>
      <c r="F366" s="3" t="inlineStr">
        <is>
          <t>ApexCargo</t>
        </is>
      </c>
      <c r="G366" s="3" t="inlineStr">
        <is>
          <t>Rail</t>
        </is>
      </c>
      <c r="H366" s="4" t="n">
        <v>955</v>
      </c>
      <c r="I366" s="5" t="n">
        <v>18014.34</v>
      </c>
      <c r="J366" s="2" t="inlineStr">
        <is>
          <t>Delayed</t>
        </is>
      </c>
      <c r="K366" s="4" t="n">
        <v>8</v>
      </c>
      <c r="L366" s="4" t="n">
        <v>12</v>
      </c>
      <c r="M366" s="4">
        <f>C366-B366</f>
        <v/>
      </c>
      <c r="N366" s="5">
        <f>I366/H366</f>
        <v/>
      </c>
      <c r="O366" s="2">
        <f>IF(J366="Cancelled","N/A",IF(L366&lt;=K366,"On Time","Late"))</f>
        <v/>
      </c>
    </row>
    <row r="367">
      <c r="A367" s="6" t="inlineStr">
        <is>
          <t>SHP-1366</t>
        </is>
      </c>
      <c r="B367" s="6" t="inlineStr">
        <is>
          <t>2026-01-11</t>
        </is>
      </c>
      <c r="C367" s="6" t="inlineStr">
        <is>
          <t>2026-01-13</t>
        </is>
      </c>
      <c r="D367" s="7" t="inlineStr">
        <is>
          <t>Hub-West</t>
        </is>
      </c>
      <c r="E367" s="7" t="inlineStr">
        <is>
          <t>Kolkata</t>
        </is>
      </c>
      <c r="F367" s="7" t="inlineStr">
        <is>
          <t>SwiftLog</t>
        </is>
      </c>
      <c r="G367" s="7" t="inlineStr">
        <is>
          <t>Air</t>
        </is>
      </c>
      <c r="H367" s="8" t="n">
        <v>42</v>
      </c>
      <c r="I367" s="9" t="n">
        <v>4659.15</v>
      </c>
      <c r="J367" s="6" t="inlineStr">
        <is>
          <t>Delayed</t>
        </is>
      </c>
      <c r="K367" s="8" t="n">
        <v>1</v>
      </c>
      <c r="L367" s="8" t="n">
        <v>3</v>
      </c>
      <c r="M367" s="8">
        <f>C367-B367</f>
        <v/>
      </c>
      <c r="N367" s="9">
        <f>I367/H367</f>
        <v/>
      </c>
      <c r="O367" s="6">
        <f>IF(J367="Cancelled","N/A",IF(L367&lt;=K367,"On Time","Late"))</f>
        <v/>
      </c>
    </row>
    <row r="368">
      <c r="A368" s="2" t="inlineStr">
        <is>
          <t>SHP-1367</t>
        </is>
      </c>
      <c r="B368" s="2" t="inlineStr">
        <is>
          <t>2026-01-15</t>
        </is>
      </c>
      <c r="C368" s="2" t="inlineStr">
        <is>
          <t>2026-01-16</t>
        </is>
      </c>
      <c r="D368" s="3" t="inlineStr">
        <is>
          <t>Hub-West</t>
        </is>
      </c>
      <c r="E368" s="3" t="inlineStr">
        <is>
          <t>Kolkata</t>
        </is>
      </c>
      <c r="F368" s="3" t="inlineStr">
        <is>
          <t>MetroEx</t>
        </is>
      </c>
      <c r="G368" s="3" t="inlineStr">
        <is>
          <t>Air</t>
        </is>
      </c>
      <c r="H368" s="4" t="n">
        <v>105</v>
      </c>
      <c r="I368" s="5" t="n">
        <v>9882.559999999999</v>
      </c>
      <c r="J368" s="2" t="inlineStr">
        <is>
          <t>Cancelled</t>
        </is>
      </c>
      <c r="K368" s="4" t="n">
        <v>2</v>
      </c>
      <c r="L368" s="4" t="n">
        <v>0</v>
      </c>
      <c r="M368" s="4">
        <f>C368-B368</f>
        <v/>
      </c>
      <c r="N368" s="5">
        <f>I368/H368</f>
        <v/>
      </c>
      <c r="O368" s="2">
        <f>IF(J368="Cancelled","N/A",IF(L368&lt;=K368,"On Time","Late"))</f>
        <v/>
      </c>
    </row>
    <row r="369">
      <c r="A369" s="6" t="inlineStr">
        <is>
          <t>SHP-1368</t>
        </is>
      </c>
      <c r="B369" s="6" t="inlineStr">
        <is>
          <t>2026-01-08</t>
        </is>
      </c>
      <c r="C369" s="6" t="inlineStr">
        <is>
          <t>2026-01-09</t>
        </is>
      </c>
      <c r="D369" s="7" t="inlineStr">
        <is>
          <t>Hub-East</t>
        </is>
      </c>
      <c r="E369" s="7" t="inlineStr">
        <is>
          <t>Delhi</t>
        </is>
      </c>
      <c r="F369" s="7" t="inlineStr">
        <is>
          <t>MetroEx</t>
        </is>
      </c>
      <c r="G369" s="7" t="inlineStr">
        <is>
          <t>Ground</t>
        </is>
      </c>
      <c r="H369" s="8" t="n">
        <v>406</v>
      </c>
      <c r="I369" s="9" t="n">
        <v>11122.91</v>
      </c>
      <c r="J369" s="6" t="inlineStr">
        <is>
          <t>In Transit</t>
        </is>
      </c>
      <c r="K369" s="8" t="n">
        <v>5</v>
      </c>
      <c r="L369" s="8" t="n">
        <v>5</v>
      </c>
      <c r="M369" s="8">
        <f>C369-B369</f>
        <v/>
      </c>
      <c r="N369" s="9">
        <f>I369/H369</f>
        <v/>
      </c>
      <c r="O369" s="6">
        <f>IF(J369="Cancelled","N/A",IF(L369&lt;=K369,"On Time","Late"))</f>
        <v/>
      </c>
    </row>
    <row r="370">
      <c r="A370" s="2" t="inlineStr">
        <is>
          <t>SHP-1369</t>
        </is>
      </c>
      <c r="B370" s="2" t="inlineStr">
        <is>
          <t>2026-02-03</t>
        </is>
      </c>
      <c r="C370" s="2" t="inlineStr">
        <is>
          <t>2026-02-04</t>
        </is>
      </c>
      <c r="D370" s="3" t="inlineStr">
        <is>
          <t>Hub-South</t>
        </is>
      </c>
      <c r="E370" s="3" t="inlineStr">
        <is>
          <t>Mumbai</t>
        </is>
      </c>
      <c r="F370" s="3" t="inlineStr">
        <is>
          <t>SwiftLog</t>
        </is>
      </c>
      <c r="G370" s="3" t="inlineStr">
        <is>
          <t>Ground</t>
        </is>
      </c>
      <c r="H370" s="4" t="n">
        <v>252</v>
      </c>
      <c r="I370" s="5" t="n">
        <v>8027.06</v>
      </c>
      <c r="J370" s="2" t="inlineStr">
        <is>
          <t>Cancelled</t>
        </is>
      </c>
      <c r="K370" s="4" t="n">
        <v>5</v>
      </c>
      <c r="L370" s="4" t="n">
        <v>0</v>
      </c>
      <c r="M370" s="4">
        <f>C370-B370</f>
        <v/>
      </c>
      <c r="N370" s="5">
        <f>I370/H370</f>
        <v/>
      </c>
      <c r="O370" s="2">
        <f>IF(J370="Cancelled","N/A",IF(L370&lt;=K370,"On Time","Late"))</f>
        <v/>
      </c>
    </row>
    <row r="371">
      <c r="A371" s="6" t="inlineStr">
        <is>
          <t>SHP-1370</t>
        </is>
      </c>
      <c r="B371" s="6" t="inlineStr">
        <is>
          <t>2026-01-10</t>
        </is>
      </c>
      <c r="C371" s="6" t="inlineStr">
        <is>
          <t>2026-01-11</t>
        </is>
      </c>
      <c r="D371" s="7" t="inlineStr">
        <is>
          <t>Hub-West</t>
        </is>
      </c>
      <c r="E371" s="7" t="inlineStr">
        <is>
          <t>Delhi</t>
        </is>
      </c>
      <c r="F371" s="7" t="inlineStr">
        <is>
          <t>MetroEx</t>
        </is>
      </c>
      <c r="G371" s="7" t="inlineStr">
        <is>
          <t>Air</t>
        </is>
      </c>
      <c r="H371" s="8" t="n">
        <v>55</v>
      </c>
      <c r="I371" s="9" t="n">
        <v>5278.32</v>
      </c>
      <c r="J371" s="6" t="inlineStr">
        <is>
          <t>Delivered</t>
        </is>
      </c>
      <c r="K371" s="8" t="n">
        <v>1</v>
      </c>
      <c r="L371" s="8" t="n">
        <v>1</v>
      </c>
      <c r="M371" s="8">
        <f>C371-B371</f>
        <v/>
      </c>
      <c r="N371" s="9">
        <f>I371/H371</f>
        <v/>
      </c>
      <c r="O371" s="6">
        <f>IF(J371="Cancelled","N/A",IF(L371&lt;=K371,"On Time","Late"))</f>
        <v/>
      </c>
    </row>
    <row r="372">
      <c r="A372" s="2" t="inlineStr">
        <is>
          <t>SHP-1371</t>
        </is>
      </c>
      <c r="B372" s="2" t="inlineStr">
        <is>
          <t>2026-01-18</t>
        </is>
      </c>
      <c r="C372" s="2" t="inlineStr">
        <is>
          <t>2026-01-18</t>
        </is>
      </c>
      <c r="D372" s="3" t="inlineStr">
        <is>
          <t>Hub-West</t>
        </is>
      </c>
      <c r="E372" s="3" t="inlineStr">
        <is>
          <t>Bangalore</t>
        </is>
      </c>
      <c r="F372" s="3" t="inlineStr">
        <is>
          <t>MetroEx</t>
        </is>
      </c>
      <c r="G372" s="3" t="inlineStr">
        <is>
          <t>Ground</t>
        </is>
      </c>
      <c r="H372" s="4" t="n">
        <v>216</v>
      </c>
      <c r="I372" s="5" t="n">
        <v>8054.55</v>
      </c>
      <c r="J372" s="2" t="inlineStr">
        <is>
          <t>In Transit</t>
        </is>
      </c>
      <c r="K372" s="4" t="n">
        <v>5</v>
      </c>
      <c r="L372" s="4" t="n">
        <v>5</v>
      </c>
      <c r="M372" s="4">
        <f>C372-B372</f>
        <v/>
      </c>
      <c r="N372" s="5">
        <f>I372/H372</f>
        <v/>
      </c>
      <c r="O372" s="2">
        <f>IF(J372="Cancelled","N/A",IF(L372&lt;=K372,"On Time","Late"))</f>
        <v/>
      </c>
    </row>
    <row r="373">
      <c r="A373" s="6" t="inlineStr">
        <is>
          <t>SHP-1372</t>
        </is>
      </c>
      <c r="B373" s="6" t="inlineStr">
        <is>
          <t>2026-01-26</t>
        </is>
      </c>
      <c r="C373" s="6" t="inlineStr">
        <is>
          <t>2026-01-27</t>
        </is>
      </c>
      <c r="D373" s="7" t="inlineStr">
        <is>
          <t>Hub-South</t>
        </is>
      </c>
      <c r="E373" s="7" t="inlineStr">
        <is>
          <t>Ahmedabad</t>
        </is>
      </c>
      <c r="F373" s="7" t="inlineStr">
        <is>
          <t>SwiftLog</t>
        </is>
      </c>
      <c r="G373" s="7" t="inlineStr">
        <is>
          <t>Ground</t>
        </is>
      </c>
      <c r="H373" s="8" t="n">
        <v>423</v>
      </c>
      <c r="I373" s="9" t="n">
        <v>12262.04</v>
      </c>
      <c r="J373" s="6" t="inlineStr">
        <is>
          <t>Delivered</t>
        </is>
      </c>
      <c r="K373" s="8" t="n">
        <v>4</v>
      </c>
      <c r="L373" s="8" t="n">
        <v>4</v>
      </c>
      <c r="M373" s="8">
        <f>C373-B373</f>
        <v/>
      </c>
      <c r="N373" s="9">
        <f>I373/H373</f>
        <v/>
      </c>
      <c r="O373" s="6">
        <f>IF(J373="Cancelled","N/A",IF(L373&lt;=K373,"On Time","Late"))</f>
        <v/>
      </c>
    </row>
    <row r="374">
      <c r="A374" s="2" t="inlineStr">
        <is>
          <t>SHP-1373</t>
        </is>
      </c>
      <c r="B374" s="2" t="inlineStr">
        <is>
          <t>2026-02-03</t>
        </is>
      </c>
      <c r="C374" s="2" t="inlineStr">
        <is>
          <t>2026-02-03</t>
        </is>
      </c>
      <c r="D374" s="3" t="inlineStr">
        <is>
          <t>Hub-East</t>
        </is>
      </c>
      <c r="E374" s="3" t="inlineStr">
        <is>
          <t>Mumbai</t>
        </is>
      </c>
      <c r="F374" s="3" t="inlineStr">
        <is>
          <t>ApexCargo</t>
        </is>
      </c>
      <c r="G374" s="3" t="inlineStr">
        <is>
          <t>Rail</t>
        </is>
      </c>
      <c r="H374" s="4" t="n">
        <v>1009</v>
      </c>
      <c r="I374" s="5" t="n">
        <v>14391.02</v>
      </c>
      <c r="J374" s="2" t="inlineStr">
        <is>
          <t>Delivered</t>
        </is>
      </c>
      <c r="K374" s="4" t="n">
        <v>7</v>
      </c>
      <c r="L374" s="4" t="n">
        <v>7</v>
      </c>
      <c r="M374" s="4">
        <f>C374-B374</f>
        <v/>
      </c>
      <c r="N374" s="5">
        <f>I374/H374</f>
        <v/>
      </c>
      <c r="O374" s="2">
        <f>IF(J374="Cancelled","N/A",IF(L374&lt;=K374,"On Time","Late"))</f>
        <v/>
      </c>
    </row>
    <row r="375">
      <c r="A375" s="6" t="inlineStr">
        <is>
          <t>SHP-1374</t>
        </is>
      </c>
      <c r="B375" s="6" t="inlineStr">
        <is>
          <t>2026-01-07</t>
        </is>
      </c>
      <c r="C375" s="6" t="inlineStr">
        <is>
          <t>2026-01-08</t>
        </is>
      </c>
      <c r="D375" s="7" t="inlineStr">
        <is>
          <t>Hub-North</t>
        </is>
      </c>
      <c r="E375" s="7" t="inlineStr">
        <is>
          <t>Bangalore</t>
        </is>
      </c>
      <c r="F375" s="7" t="inlineStr">
        <is>
          <t>SwiftLog</t>
        </is>
      </c>
      <c r="G375" s="7" t="inlineStr">
        <is>
          <t>Ground</t>
        </is>
      </c>
      <c r="H375" s="8" t="n">
        <v>302</v>
      </c>
      <c r="I375" s="9" t="n">
        <v>13278.72</v>
      </c>
      <c r="J375" s="6" t="inlineStr">
        <is>
          <t>Delayed</t>
        </is>
      </c>
      <c r="K375" s="8" t="n">
        <v>4</v>
      </c>
      <c r="L375" s="8" t="n">
        <v>9</v>
      </c>
      <c r="M375" s="8">
        <f>C375-B375</f>
        <v/>
      </c>
      <c r="N375" s="9">
        <f>I375/H375</f>
        <v/>
      </c>
      <c r="O375" s="6">
        <f>IF(J375="Cancelled","N/A",IF(L375&lt;=K375,"On Time","Late"))</f>
        <v/>
      </c>
    </row>
    <row r="376">
      <c r="A376" s="2" t="inlineStr">
        <is>
          <t>SHP-1375</t>
        </is>
      </c>
      <c r="B376" s="2" t="inlineStr">
        <is>
          <t>2026-02-13</t>
        </is>
      </c>
      <c r="C376" s="2" t="inlineStr">
        <is>
          <t>2026-02-13</t>
        </is>
      </c>
      <c r="D376" s="3" t="inlineStr">
        <is>
          <t>Hub-North</t>
        </is>
      </c>
      <c r="E376" s="3" t="inlineStr">
        <is>
          <t>Pune</t>
        </is>
      </c>
      <c r="F376" s="3" t="inlineStr">
        <is>
          <t>MetroEx</t>
        </is>
      </c>
      <c r="G376" s="3" t="inlineStr">
        <is>
          <t>Ground</t>
        </is>
      </c>
      <c r="H376" s="4" t="n">
        <v>234</v>
      </c>
      <c r="I376" s="5" t="n">
        <v>10287.03</v>
      </c>
      <c r="J376" s="2" t="inlineStr">
        <is>
          <t>Delivered</t>
        </is>
      </c>
      <c r="K376" s="4" t="n">
        <v>4</v>
      </c>
      <c r="L376" s="4" t="n">
        <v>4</v>
      </c>
      <c r="M376" s="4">
        <f>C376-B376</f>
        <v/>
      </c>
      <c r="N376" s="5">
        <f>I376/H376</f>
        <v/>
      </c>
      <c r="O376" s="2">
        <f>IF(J376="Cancelled","N/A",IF(L376&lt;=K376,"On Time","Late"))</f>
        <v/>
      </c>
    </row>
    <row r="377">
      <c r="A377" s="6" t="inlineStr">
        <is>
          <t>SHP-1376</t>
        </is>
      </c>
      <c r="B377" s="6" t="inlineStr">
        <is>
          <t>2026-01-15</t>
        </is>
      </c>
      <c r="C377" s="6" t="inlineStr">
        <is>
          <t>2026-01-15</t>
        </is>
      </c>
      <c r="D377" s="7" t="inlineStr">
        <is>
          <t>Hub-West</t>
        </is>
      </c>
      <c r="E377" s="7" t="inlineStr">
        <is>
          <t>Mumbai</t>
        </is>
      </c>
      <c r="F377" s="7" t="inlineStr">
        <is>
          <t>ApexCargo</t>
        </is>
      </c>
      <c r="G377" s="7" t="inlineStr">
        <is>
          <t>Rail</t>
        </is>
      </c>
      <c r="H377" s="8" t="n">
        <v>846</v>
      </c>
      <c r="I377" s="9" t="n">
        <v>11193.95</v>
      </c>
      <c r="J377" s="6" t="inlineStr">
        <is>
          <t>In Transit</t>
        </is>
      </c>
      <c r="K377" s="8" t="n">
        <v>5</v>
      </c>
      <c r="L377" s="8" t="n">
        <v>5</v>
      </c>
      <c r="M377" s="8">
        <f>C377-B377</f>
        <v/>
      </c>
      <c r="N377" s="9">
        <f>I377/H377</f>
        <v/>
      </c>
      <c r="O377" s="6">
        <f>IF(J377="Cancelled","N/A",IF(L377&lt;=K377,"On Time","Late"))</f>
        <v/>
      </c>
    </row>
    <row r="378">
      <c r="A378" s="2" t="inlineStr">
        <is>
          <t>SHP-1377</t>
        </is>
      </c>
      <c r="B378" s="2" t="inlineStr">
        <is>
          <t>2026-02-10</t>
        </is>
      </c>
      <c r="C378" s="2" t="inlineStr">
        <is>
          <t>2026-02-11</t>
        </is>
      </c>
      <c r="D378" s="3" t="inlineStr">
        <is>
          <t>Hub-East</t>
        </is>
      </c>
      <c r="E378" s="3" t="inlineStr">
        <is>
          <t>Mumbai</t>
        </is>
      </c>
      <c r="F378" s="3" t="inlineStr">
        <is>
          <t>ApexCargo</t>
        </is>
      </c>
      <c r="G378" s="3" t="inlineStr">
        <is>
          <t>Ground</t>
        </is>
      </c>
      <c r="H378" s="4" t="n">
        <v>484</v>
      </c>
      <c r="I378" s="5" t="n">
        <v>20193.64</v>
      </c>
      <c r="J378" s="2" t="inlineStr">
        <is>
          <t>Delivered</t>
        </is>
      </c>
      <c r="K378" s="4" t="n">
        <v>3</v>
      </c>
      <c r="L378" s="4" t="n">
        <v>3</v>
      </c>
      <c r="M378" s="4">
        <f>C378-B378</f>
        <v/>
      </c>
      <c r="N378" s="5">
        <f>I378/H378</f>
        <v/>
      </c>
      <c r="O378" s="2">
        <f>IF(J378="Cancelled","N/A",IF(L378&lt;=K378,"On Time","Late"))</f>
        <v/>
      </c>
    </row>
    <row r="379">
      <c r="A379" s="6" t="inlineStr">
        <is>
          <t>SHP-1378</t>
        </is>
      </c>
      <c r="B379" s="6" t="inlineStr">
        <is>
          <t>2026-01-29</t>
        </is>
      </c>
      <c r="C379" s="6" t="inlineStr">
        <is>
          <t>2026-01-30</t>
        </is>
      </c>
      <c r="D379" s="7" t="inlineStr">
        <is>
          <t>Hub-East</t>
        </is>
      </c>
      <c r="E379" s="7" t="inlineStr">
        <is>
          <t>Kolkata</t>
        </is>
      </c>
      <c r="F379" s="7" t="inlineStr">
        <is>
          <t>MetroEx</t>
        </is>
      </c>
      <c r="G379" s="7" t="inlineStr">
        <is>
          <t>Rail</t>
        </is>
      </c>
      <c r="H379" s="8" t="n">
        <v>813</v>
      </c>
      <c r="I379" s="9" t="n">
        <v>11426.67</v>
      </c>
      <c r="J379" s="6" t="inlineStr">
        <is>
          <t>Delivered</t>
        </is>
      </c>
      <c r="K379" s="8" t="n">
        <v>5</v>
      </c>
      <c r="L379" s="8" t="n">
        <v>5</v>
      </c>
      <c r="M379" s="8">
        <f>C379-B379</f>
        <v/>
      </c>
      <c r="N379" s="9">
        <f>I379/H379</f>
        <v/>
      </c>
      <c r="O379" s="6">
        <f>IF(J379="Cancelled","N/A",IF(L379&lt;=K379,"On Time","Late"))</f>
        <v/>
      </c>
    </row>
    <row r="380">
      <c r="A380" s="2" t="inlineStr">
        <is>
          <t>SHP-1379</t>
        </is>
      </c>
      <c r="B380" s="2" t="inlineStr">
        <is>
          <t>2026-02-12</t>
        </is>
      </c>
      <c r="C380" s="2" t="inlineStr">
        <is>
          <t>2026-02-12</t>
        </is>
      </c>
      <c r="D380" s="3" t="inlineStr">
        <is>
          <t>Hub-North</t>
        </is>
      </c>
      <c r="E380" s="3" t="inlineStr">
        <is>
          <t>Bangalore</t>
        </is>
      </c>
      <c r="F380" s="3" t="inlineStr">
        <is>
          <t>MetroEx</t>
        </is>
      </c>
      <c r="G380" s="3" t="inlineStr">
        <is>
          <t>Ground</t>
        </is>
      </c>
      <c r="H380" s="4" t="n">
        <v>411</v>
      </c>
      <c r="I380" s="5" t="n">
        <v>16183.26</v>
      </c>
      <c r="J380" s="2" t="inlineStr">
        <is>
          <t>Delivered</t>
        </is>
      </c>
      <c r="K380" s="4" t="n">
        <v>3</v>
      </c>
      <c r="L380" s="4" t="n">
        <v>2</v>
      </c>
      <c r="M380" s="4">
        <f>C380-B380</f>
        <v/>
      </c>
      <c r="N380" s="5">
        <f>I380/H380</f>
        <v/>
      </c>
      <c r="O380" s="2">
        <f>IF(J380="Cancelled","N/A",IF(L380&lt;=K380,"On Time","Late"))</f>
        <v/>
      </c>
    </row>
    <row r="381">
      <c r="A381" s="6" t="inlineStr">
        <is>
          <t>SHP-1380</t>
        </is>
      </c>
      <c r="B381" s="6" t="inlineStr">
        <is>
          <t>2026-01-07</t>
        </is>
      </c>
      <c r="C381" s="6" t="inlineStr">
        <is>
          <t>2026-01-08</t>
        </is>
      </c>
      <c r="D381" s="7" t="inlineStr">
        <is>
          <t>Hub-West</t>
        </is>
      </c>
      <c r="E381" s="7" t="inlineStr">
        <is>
          <t>Chennai</t>
        </is>
      </c>
      <c r="F381" s="7" t="inlineStr">
        <is>
          <t>MetroEx</t>
        </is>
      </c>
      <c r="G381" s="7" t="inlineStr">
        <is>
          <t>Rail</t>
        </is>
      </c>
      <c r="H381" s="8" t="n">
        <v>913</v>
      </c>
      <c r="I381" s="9" t="n">
        <v>14223.83</v>
      </c>
      <c r="J381" s="6" t="inlineStr">
        <is>
          <t>Delivered</t>
        </is>
      </c>
      <c r="K381" s="8" t="n">
        <v>8</v>
      </c>
      <c r="L381" s="8" t="n">
        <v>8</v>
      </c>
      <c r="M381" s="8">
        <f>C381-B381</f>
        <v/>
      </c>
      <c r="N381" s="9">
        <f>I381/H381</f>
        <v/>
      </c>
      <c r="O381" s="6">
        <f>IF(J381="Cancelled","N/A",IF(L381&lt;=K381,"On Time","Late"))</f>
        <v/>
      </c>
    </row>
    <row r="382">
      <c r="A382" s="2" t="inlineStr">
        <is>
          <t>SHP-1381</t>
        </is>
      </c>
      <c r="B382" s="2" t="inlineStr">
        <is>
          <t>2026-01-03</t>
        </is>
      </c>
      <c r="C382" s="2" t="inlineStr">
        <is>
          <t>2026-01-05</t>
        </is>
      </c>
      <c r="D382" s="3" t="inlineStr">
        <is>
          <t>Hub-South</t>
        </is>
      </c>
      <c r="E382" s="3" t="inlineStr">
        <is>
          <t>Chennai</t>
        </is>
      </c>
      <c r="F382" s="3" t="inlineStr">
        <is>
          <t>ApexCargo</t>
        </is>
      </c>
      <c r="G382" s="3" t="inlineStr">
        <is>
          <t>Air</t>
        </is>
      </c>
      <c r="H382" s="4" t="n">
        <v>94</v>
      </c>
      <c r="I382" s="5" t="n">
        <v>8761.52</v>
      </c>
      <c r="J382" s="2" t="inlineStr">
        <is>
          <t>Delivered</t>
        </is>
      </c>
      <c r="K382" s="4" t="n">
        <v>1</v>
      </c>
      <c r="L382" s="4" t="n">
        <v>1</v>
      </c>
      <c r="M382" s="4">
        <f>C382-B382</f>
        <v/>
      </c>
      <c r="N382" s="5">
        <f>I382/H382</f>
        <v/>
      </c>
      <c r="O382" s="2">
        <f>IF(J382="Cancelled","N/A",IF(L382&lt;=K382,"On Time","Late"))</f>
        <v/>
      </c>
    </row>
    <row r="383">
      <c r="A383" s="6" t="inlineStr">
        <is>
          <t>SHP-1382</t>
        </is>
      </c>
      <c r="B383" s="6" t="inlineStr">
        <is>
          <t>2026-02-06</t>
        </is>
      </c>
      <c r="C383" s="6" t="inlineStr">
        <is>
          <t>2026-02-07</t>
        </is>
      </c>
      <c r="D383" s="7" t="inlineStr">
        <is>
          <t>Hub-West</t>
        </is>
      </c>
      <c r="E383" s="7" t="inlineStr">
        <is>
          <t>Delhi</t>
        </is>
      </c>
      <c r="F383" s="7" t="inlineStr">
        <is>
          <t>ApexCargo</t>
        </is>
      </c>
      <c r="G383" s="7" t="inlineStr">
        <is>
          <t>Ground</t>
        </is>
      </c>
      <c r="H383" s="8" t="n">
        <v>520</v>
      </c>
      <c r="I383" s="9" t="n">
        <v>20525.19</v>
      </c>
      <c r="J383" s="6" t="inlineStr">
        <is>
          <t>Delivered</t>
        </is>
      </c>
      <c r="K383" s="8" t="n">
        <v>4</v>
      </c>
      <c r="L383" s="8" t="n">
        <v>4</v>
      </c>
      <c r="M383" s="8">
        <f>C383-B383</f>
        <v/>
      </c>
      <c r="N383" s="9">
        <f>I383/H383</f>
        <v/>
      </c>
      <c r="O383" s="6">
        <f>IF(J383="Cancelled","N/A",IF(L383&lt;=K383,"On Time","Late"))</f>
        <v/>
      </c>
    </row>
    <row r="384">
      <c r="A384" s="2" t="inlineStr">
        <is>
          <t>SHP-1383</t>
        </is>
      </c>
      <c r="B384" s="2" t="inlineStr">
        <is>
          <t>2026-01-19</t>
        </is>
      </c>
      <c r="C384" s="2" t="inlineStr">
        <is>
          <t>2026-01-20</t>
        </is>
      </c>
      <c r="D384" s="3" t="inlineStr">
        <is>
          <t>Hub-South</t>
        </is>
      </c>
      <c r="E384" s="3" t="inlineStr">
        <is>
          <t>Mumbai</t>
        </is>
      </c>
      <c r="F384" s="3" t="inlineStr">
        <is>
          <t>SwiftLog</t>
        </is>
      </c>
      <c r="G384" s="3" t="inlineStr">
        <is>
          <t>Ground</t>
        </is>
      </c>
      <c r="H384" s="4" t="n">
        <v>597</v>
      </c>
      <c r="I384" s="5" t="n">
        <v>15395.97</v>
      </c>
      <c r="J384" s="2" t="inlineStr">
        <is>
          <t>Delayed</t>
        </is>
      </c>
      <c r="K384" s="4" t="n">
        <v>4</v>
      </c>
      <c r="L384" s="4" t="n">
        <v>8</v>
      </c>
      <c r="M384" s="4">
        <f>C384-B384</f>
        <v/>
      </c>
      <c r="N384" s="5">
        <f>I384/H384</f>
        <v/>
      </c>
      <c r="O384" s="2">
        <f>IF(J384="Cancelled","N/A",IF(L384&lt;=K384,"On Time","Late"))</f>
        <v/>
      </c>
    </row>
    <row r="385">
      <c r="A385" s="6" t="inlineStr">
        <is>
          <t>SHP-1384</t>
        </is>
      </c>
      <c r="B385" s="6" t="inlineStr">
        <is>
          <t>2026-01-28</t>
        </is>
      </c>
      <c r="C385" s="6" t="inlineStr">
        <is>
          <t>2026-01-28</t>
        </is>
      </c>
      <c r="D385" s="7" t="inlineStr">
        <is>
          <t>Hub-East</t>
        </is>
      </c>
      <c r="E385" s="7" t="inlineStr">
        <is>
          <t>Mumbai</t>
        </is>
      </c>
      <c r="F385" s="7" t="inlineStr">
        <is>
          <t>SwiftLog</t>
        </is>
      </c>
      <c r="G385" s="7" t="inlineStr">
        <is>
          <t>Ground</t>
        </is>
      </c>
      <c r="H385" s="8" t="n">
        <v>489</v>
      </c>
      <c r="I385" s="9" t="n">
        <v>18554.6</v>
      </c>
      <c r="J385" s="6" t="inlineStr">
        <is>
          <t>Delayed</t>
        </is>
      </c>
      <c r="K385" s="8" t="n">
        <v>4</v>
      </c>
      <c r="L385" s="8" t="n">
        <v>9</v>
      </c>
      <c r="M385" s="8">
        <f>C385-B385</f>
        <v/>
      </c>
      <c r="N385" s="9">
        <f>I385/H385</f>
        <v/>
      </c>
      <c r="O385" s="6">
        <f>IF(J385="Cancelled","N/A",IF(L385&lt;=K385,"On Time","Late"))</f>
        <v/>
      </c>
    </row>
    <row r="386">
      <c r="A386" s="2" t="inlineStr">
        <is>
          <t>SHP-1385</t>
        </is>
      </c>
      <c r="B386" s="2" t="inlineStr">
        <is>
          <t>2026-02-09</t>
        </is>
      </c>
      <c r="C386" s="2" t="inlineStr">
        <is>
          <t>2026-02-10</t>
        </is>
      </c>
      <c r="D386" s="3" t="inlineStr">
        <is>
          <t>Hub-East</t>
        </is>
      </c>
      <c r="E386" s="3" t="inlineStr">
        <is>
          <t>Hyderabad</t>
        </is>
      </c>
      <c r="F386" s="3" t="inlineStr">
        <is>
          <t>MetroEx</t>
        </is>
      </c>
      <c r="G386" s="3" t="inlineStr">
        <is>
          <t>Ground</t>
        </is>
      </c>
      <c r="H386" s="4" t="n">
        <v>208</v>
      </c>
      <c r="I386" s="5" t="n">
        <v>6867.23</v>
      </c>
      <c r="J386" s="2" t="inlineStr">
        <is>
          <t>Delivered</t>
        </is>
      </c>
      <c r="K386" s="4" t="n">
        <v>4</v>
      </c>
      <c r="L386" s="4" t="n">
        <v>4</v>
      </c>
      <c r="M386" s="4">
        <f>C386-B386</f>
        <v/>
      </c>
      <c r="N386" s="5">
        <f>I386/H386</f>
        <v/>
      </c>
      <c r="O386" s="2">
        <f>IF(J386="Cancelled","N/A",IF(L386&lt;=K386,"On Time","Late"))</f>
        <v/>
      </c>
    </row>
    <row r="387">
      <c r="A387" s="6" t="inlineStr">
        <is>
          <t>SHP-1386</t>
        </is>
      </c>
      <c r="B387" s="6" t="inlineStr">
        <is>
          <t>2026-02-14</t>
        </is>
      </c>
      <c r="C387" s="6" t="inlineStr">
        <is>
          <t>2026-02-15</t>
        </is>
      </c>
      <c r="D387" s="7" t="inlineStr">
        <is>
          <t>Hub-South</t>
        </is>
      </c>
      <c r="E387" s="7" t="inlineStr">
        <is>
          <t>Bangalore</t>
        </is>
      </c>
      <c r="F387" s="7" t="inlineStr">
        <is>
          <t>SwiftLog</t>
        </is>
      </c>
      <c r="G387" s="7" t="inlineStr">
        <is>
          <t>Ground</t>
        </is>
      </c>
      <c r="H387" s="8" t="n">
        <v>506</v>
      </c>
      <c r="I387" s="9" t="n">
        <v>20001.28</v>
      </c>
      <c r="J387" s="6" t="inlineStr">
        <is>
          <t>Delivered</t>
        </is>
      </c>
      <c r="K387" s="8" t="n">
        <v>3</v>
      </c>
      <c r="L387" s="8" t="n">
        <v>3</v>
      </c>
      <c r="M387" s="8">
        <f>C387-B387</f>
        <v/>
      </c>
      <c r="N387" s="9">
        <f>I387/H387</f>
        <v/>
      </c>
      <c r="O387" s="6">
        <f>IF(J387="Cancelled","N/A",IF(L387&lt;=K387,"On Time","Late"))</f>
        <v/>
      </c>
    </row>
    <row r="388">
      <c r="A388" s="2" t="inlineStr">
        <is>
          <t>SHP-1387</t>
        </is>
      </c>
      <c r="B388" s="2" t="inlineStr">
        <is>
          <t>2026-02-07</t>
        </is>
      </c>
      <c r="C388" s="2" t="inlineStr">
        <is>
          <t>2026-02-08</t>
        </is>
      </c>
      <c r="D388" s="3" t="inlineStr">
        <is>
          <t>Hub-South</t>
        </is>
      </c>
      <c r="E388" s="3" t="inlineStr">
        <is>
          <t>Bangalore</t>
        </is>
      </c>
      <c r="F388" s="3" t="inlineStr">
        <is>
          <t>ApexCargo</t>
        </is>
      </c>
      <c r="G388" s="3" t="inlineStr">
        <is>
          <t>Air</t>
        </is>
      </c>
      <c r="H388" s="4" t="n">
        <v>101</v>
      </c>
      <c r="I388" s="5" t="n">
        <v>10746.15</v>
      </c>
      <c r="J388" s="2" t="inlineStr">
        <is>
          <t>Cancelled</t>
        </is>
      </c>
      <c r="K388" s="4" t="n">
        <v>1</v>
      </c>
      <c r="L388" s="4" t="n">
        <v>0</v>
      </c>
      <c r="M388" s="4">
        <f>C388-B388</f>
        <v/>
      </c>
      <c r="N388" s="5">
        <f>I388/H388</f>
        <v/>
      </c>
      <c r="O388" s="2">
        <f>IF(J388="Cancelled","N/A",IF(L388&lt;=K388,"On Time","Late"))</f>
        <v/>
      </c>
    </row>
    <row r="389">
      <c r="A389" s="6" t="inlineStr">
        <is>
          <t>SHP-1388</t>
        </is>
      </c>
      <c r="B389" s="6" t="inlineStr">
        <is>
          <t>2026-02-01</t>
        </is>
      </c>
      <c r="C389" s="6" t="inlineStr">
        <is>
          <t>2026-02-01</t>
        </is>
      </c>
      <c r="D389" s="7" t="inlineStr">
        <is>
          <t>Hub-South</t>
        </is>
      </c>
      <c r="E389" s="7" t="inlineStr">
        <is>
          <t>Pune</t>
        </is>
      </c>
      <c r="F389" s="7" t="inlineStr">
        <is>
          <t>SwiftLog</t>
        </is>
      </c>
      <c r="G389" s="7" t="inlineStr">
        <is>
          <t>Ground</t>
        </is>
      </c>
      <c r="H389" s="8" t="n">
        <v>283</v>
      </c>
      <c r="I389" s="9" t="n">
        <v>10782.15</v>
      </c>
      <c r="J389" s="6" t="inlineStr">
        <is>
          <t>Delivered</t>
        </is>
      </c>
      <c r="K389" s="8" t="n">
        <v>3</v>
      </c>
      <c r="L389" s="8" t="n">
        <v>5</v>
      </c>
      <c r="M389" s="8">
        <f>C389-B389</f>
        <v/>
      </c>
      <c r="N389" s="9">
        <f>I389/H389</f>
        <v/>
      </c>
      <c r="O389" s="6">
        <f>IF(J389="Cancelled","N/A",IF(L389&lt;=K389,"On Time","Late"))</f>
        <v/>
      </c>
    </row>
    <row r="390">
      <c r="A390" s="2" t="inlineStr">
        <is>
          <t>SHP-1389</t>
        </is>
      </c>
      <c r="B390" s="2" t="inlineStr">
        <is>
          <t>2026-01-22</t>
        </is>
      </c>
      <c r="C390" s="2" t="inlineStr">
        <is>
          <t>2026-01-24</t>
        </is>
      </c>
      <c r="D390" s="3" t="inlineStr">
        <is>
          <t>Hub-East</t>
        </is>
      </c>
      <c r="E390" s="3" t="inlineStr">
        <is>
          <t>Ahmedabad</t>
        </is>
      </c>
      <c r="F390" s="3" t="inlineStr">
        <is>
          <t>ApexCargo</t>
        </is>
      </c>
      <c r="G390" s="3" t="inlineStr">
        <is>
          <t>Rail</t>
        </is>
      </c>
      <c r="H390" s="4" t="n">
        <v>1009</v>
      </c>
      <c r="I390" s="5" t="n">
        <v>16970.67</v>
      </c>
      <c r="J390" s="2" t="inlineStr">
        <is>
          <t>Delivered</t>
        </is>
      </c>
      <c r="K390" s="4" t="n">
        <v>8</v>
      </c>
      <c r="L390" s="4" t="n">
        <v>9</v>
      </c>
      <c r="M390" s="4">
        <f>C390-B390</f>
        <v/>
      </c>
      <c r="N390" s="5">
        <f>I390/H390</f>
        <v/>
      </c>
      <c r="O390" s="2">
        <f>IF(J390="Cancelled","N/A",IF(L390&lt;=K390,"On Time","Late"))</f>
        <v/>
      </c>
    </row>
    <row r="391">
      <c r="A391" s="6" t="inlineStr">
        <is>
          <t>SHP-1390</t>
        </is>
      </c>
      <c r="B391" s="6" t="inlineStr">
        <is>
          <t>2026-02-09</t>
        </is>
      </c>
      <c r="C391" s="6" t="inlineStr">
        <is>
          <t>2026-02-09</t>
        </is>
      </c>
      <c r="D391" s="7" t="inlineStr">
        <is>
          <t>Hub-East</t>
        </is>
      </c>
      <c r="E391" s="7" t="inlineStr">
        <is>
          <t>Bangalore</t>
        </is>
      </c>
      <c r="F391" s="7" t="inlineStr">
        <is>
          <t>ApexCargo</t>
        </is>
      </c>
      <c r="G391" s="7" t="inlineStr">
        <is>
          <t>Air</t>
        </is>
      </c>
      <c r="H391" s="8" t="n">
        <v>136</v>
      </c>
      <c r="I391" s="9" t="n">
        <v>15698.42</v>
      </c>
      <c r="J391" s="6" t="inlineStr">
        <is>
          <t>Cancelled</t>
        </is>
      </c>
      <c r="K391" s="8" t="n">
        <v>1</v>
      </c>
      <c r="L391" s="8" t="n">
        <v>0</v>
      </c>
      <c r="M391" s="8">
        <f>C391-B391</f>
        <v/>
      </c>
      <c r="N391" s="9">
        <f>I391/H391</f>
        <v/>
      </c>
      <c r="O391" s="6">
        <f>IF(J391="Cancelled","N/A",IF(L391&lt;=K391,"On Time","Late"))</f>
        <v/>
      </c>
    </row>
    <row r="392">
      <c r="A392" s="2" t="inlineStr">
        <is>
          <t>SHP-1391</t>
        </is>
      </c>
      <c r="B392" s="2" t="inlineStr">
        <is>
          <t>2026-01-21</t>
        </is>
      </c>
      <c r="C392" s="2" t="inlineStr">
        <is>
          <t>2026-01-21</t>
        </is>
      </c>
      <c r="D392" s="3" t="inlineStr">
        <is>
          <t>Hub-North</t>
        </is>
      </c>
      <c r="E392" s="3" t="inlineStr">
        <is>
          <t>Kolkata</t>
        </is>
      </c>
      <c r="F392" s="3" t="inlineStr">
        <is>
          <t>SwiftLog</t>
        </is>
      </c>
      <c r="G392" s="3" t="inlineStr">
        <is>
          <t>Rail</t>
        </is>
      </c>
      <c r="H392" s="4" t="n">
        <v>956</v>
      </c>
      <c r="I392" s="5" t="n">
        <v>16734.74</v>
      </c>
      <c r="J392" s="2" t="inlineStr">
        <is>
          <t>In Transit</t>
        </is>
      </c>
      <c r="K392" s="4" t="n">
        <v>8</v>
      </c>
      <c r="L392" s="4" t="n">
        <v>8</v>
      </c>
      <c r="M392" s="4">
        <f>C392-B392</f>
        <v/>
      </c>
      <c r="N392" s="5">
        <f>I392/H392</f>
        <v/>
      </c>
      <c r="O392" s="2">
        <f>IF(J392="Cancelled","N/A",IF(L392&lt;=K392,"On Time","Late"))</f>
        <v/>
      </c>
    </row>
    <row r="393">
      <c r="A393" s="6" t="inlineStr">
        <is>
          <t>SHP-1392</t>
        </is>
      </c>
      <c r="B393" s="6" t="inlineStr">
        <is>
          <t>2026-01-16</t>
        </is>
      </c>
      <c r="C393" s="6" t="inlineStr">
        <is>
          <t>2026-01-16</t>
        </is>
      </c>
      <c r="D393" s="7" t="inlineStr">
        <is>
          <t>Hub-South</t>
        </is>
      </c>
      <c r="E393" s="7" t="inlineStr">
        <is>
          <t>Pune</t>
        </is>
      </c>
      <c r="F393" s="7" t="inlineStr">
        <is>
          <t>ApexCargo</t>
        </is>
      </c>
      <c r="G393" s="7" t="inlineStr">
        <is>
          <t>Air</t>
        </is>
      </c>
      <c r="H393" s="8" t="n">
        <v>32</v>
      </c>
      <c r="I393" s="9" t="n">
        <v>3679.38</v>
      </c>
      <c r="J393" s="6" t="inlineStr">
        <is>
          <t>Delayed</t>
        </is>
      </c>
      <c r="K393" s="8" t="n">
        <v>2</v>
      </c>
      <c r="L393" s="8" t="n">
        <v>4</v>
      </c>
      <c r="M393" s="8">
        <f>C393-B393</f>
        <v/>
      </c>
      <c r="N393" s="9">
        <f>I393/H393</f>
        <v/>
      </c>
      <c r="O393" s="6">
        <f>IF(J393="Cancelled","N/A",IF(L393&lt;=K393,"On Time","Late"))</f>
        <v/>
      </c>
    </row>
    <row r="394">
      <c r="A394" s="2" t="inlineStr">
        <is>
          <t>SHP-1393</t>
        </is>
      </c>
      <c r="B394" s="2" t="inlineStr">
        <is>
          <t>2026-02-01</t>
        </is>
      </c>
      <c r="C394" s="2" t="inlineStr">
        <is>
          <t>2026-02-01</t>
        </is>
      </c>
      <c r="D394" s="3" t="inlineStr">
        <is>
          <t>Hub-East</t>
        </is>
      </c>
      <c r="E394" s="3" t="inlineStr">
        <is>
          <t>Ahmedabad</t>
        </is>
      </c>
      <c r="F394" s="3" t="inlineStr">
        <is>
          <t>MetroEx</t>
        </is>
      </c>
      <c r="G394" s="3" t="inlineStr">
        <is>
          <t>Ground</t>
        </is>
      </c>
      <c r="H394" s="4" t="n">
        <v>435</v>
      </c>
      <c r="I394" s="5" t="n">
        <v>15652.16</v>
      </c>
      <c r="J394" s="2" t="inlineStr">
        <is>
          <t>Delivered</t>
        </is>
      </c>
      <c r="K394" s="4" t="n">
        <v>3</v>
      </c>
      <c r="L394" s="4" t="n">
        <v>4</v>
      </c>
      <c r="M394" s="4">
        <f>C394-B394</f>
        <v/>
      </c>
      <c r="N394" s="5">
        <f>I394/H394</f>
        <v/>
      </c>
      <c r="O394" s="2">
        <f>IF(J394="Cancelled","N/A",IF(L394&lt;=K394,"On Time","Late"))</f>
        <v/>
      </c>
    </row>
    <row r="395">
      <c r="A395" s="6" t="inlineStr">
        <is>
          <t>SHP-1394</t>
        </is>
      </c>
      <c r="B395" s="6" t="inlineStr">
        <is>
          <t>2026-02-05</t>
        </is>
      </c>
      <c r="C395" s="6" t="inlineStr">
        <is>
          <t>2026-02-05</t>
        </is>
      </c>
      <c r="D395" s="7" t="inlineStr">
        <is>
          <t>Hub-South</t>
        </is>
      </c>
      <c r="E395" s="7" t="inlineStr">
        <is>
          <t>Hyderabad</t>
        </is>
      </c>
      <c r="F395" s="7" t="inlineStr">
        <is>
          <t>MetroEx</t>
        </is>
      </c>
      <c r="G395" s="7" t="inlineStr">
        <is>
          <t>Ground</t>
        </is>
      </c>
      <c r="H395" s="8" t="n">
        <v>568</v>
      </c>
      <c r="I395" s="9" t="n">
        <v>16732.35</v>
      </c>
      <c r="J395" s="6" t="inlineStr">
        <is>
          <t>Delayed</t>
        </is>
      </c>
      <c r="K395" s="8" t="n">
        <v>4</v>
      </c>
      <c r="L395" s="8" t="n">
        <v>9</v>
      </c>
      <c r="M395" s="8">
        <f>C395-B395</f>
        <v/>
      </c>
      <c r="N395" s="9">
        <f>I395/H395</f>
        <v/>
      </c>
      <c r="O395" s="6">
        <f>IF(J395="Cancelled","N/A",IF(L395&lt;=K395,"On Time","Late"))</f>
        <v/>
      </c>
    </row>
    <row r="396">
      <c r="A396" s="2" t="inlineStr">
        <is>
          <t>SHP-1395</t>
        </is>
      </c>
      <c r="B396" s="2" t="inlineStr">
        <is>
          <t>2026-02-15</t>
        </is>
      </c>
      <c r="C396" s="2" t="inlineStr">
        <is>
          <t>2026-02-16</t>
        </is>
      </c>
      <c r="D396" s="3" t="inlineStr">
        <is>
          <t>Hub-South</t>
        </is>
      </c>
      <c r="E396" s="3" t="inlineStr">
        <is>
          <t>Delhi</t>
        </is>
      </c>
      <c r="F396" s="3" t="inlineStr">
        <is>
          <t>SwiftLog</t>
        </is>
      </c>
      <c r="G396" s="3" t="inlineStr">
        <is>
          <t>Rail</t>
        </is>
      </c>
      <c r="H396" s="4" t="n">
        <v>954</v>
      </c>
      <c r="I396" s="5" t="n">
        <v>11468.96</v>
      </c>
      <c r="J396" s="2" t="inlineStr">
        <is>
          <t>Delivered</t>
        </is>
      </c>
      <c r="K396" s="4" t="n">
        <v>7</v>
      </c>
      <c r="L396" s="4" t="n">
        <v>8</v>
      </c>
      <c r="M396" s="4">
        <f>C396-B396</f>
        <v/>
      </c>
      <c r="N396" s="5">
        <f>I396/H396</f>
        <v/>
      </c>
      <c r="O396" s="2">
        <f>IF(J396="Cancelled","N/A",IF(L396&lt;=K396,"On Time","Late"))</f>
        <v/>
      </c>
    </row>
    <row r="397">
      <c r="A397" s="6" t="inlineStr">
        <is>
          <t>SHP-1396</t>
        </is>
      </c>
      <c r="B397" s="6" t="inlineStr">
        <is>
          <t>2026-02-03</t>
        </is>
      </c>
      <c r="C397" s="6" t="inlineStr">
        <is>
          <t>2026-02-04</t>
        </is>
      </c>
      <c r="D397" s="7" t="inlineStr">
        <is>
          <t>Hub-East</t>
        </is>
      </c>
      <c r="E397" s="7" t="inlineStr">
        <is>
          <t>Mumbai</t>
        </is>
      </c>
      <c r="F397" s="7" t="inlineStr">
        <is>
          <t>SwiftLog</t>
        </is>
      </c>
      <c r="G397" s="7" t="inlineStr">
        <is>
          <t>Air</t>
        </is>
      </c>
      <c r="H397" s="8" t="n">
        <v>45</v>
      </c>
      <c r="I397" s="9" t="n">
        <v>5119.4</v>
      </c>
      <c r="J397" s="6" t="inlineStr">
        <is>
          <t>Delivered</t>
        </is>
      </c>
      <c r="K397" s="8" t="n">
        <v>2</v>
      </c>
      <c r="L397" s="8" t="n">
        <v>2</v>
      </c>
      <c r="M397" s="8">
        <f>C397-B397</f>
        <v/>
      </c>
      <c r="N397" s="9">
        <f>I397/H397</f>
        <v/>
      </c>
      <c r="O397" s="6">
        <f>IF(J397="Cancelled","N/A",IF(L397&lt;=K397,"On Time","Late"))</f>
        <v/>
      </c>
    </row>
    <row r="398">
      <c r="A398" s="2" t="inlineStr">
        <is>
          <t>SHP-1397</t>
        </is>
      </c>
      <c r="B398" s="2" t="inlineStr">
        <is>
          <t>2026-02-09</t>
        </is>
      </c>
      <c r="C398" s="2" t="inlineStr">
        <is>
          <t>2026-02-09</t>
        </is>
      </c>
      <c r="D398" s="3" t="inlineStr">
        <is>
          <t>Hub-West</t>
        </is>
      </c>
      <c r="E398" s="3" t="inlineStr">
        <is>
          <t>Delhi</t>
        </is>
      </c>
      <c r="F398" s="3" t="inlineStr">
        <is>
          <t>MetroEx</t>
        </is>
      </c>
      <c r="G398" s="3" t="inlineStr">
        <is>
          <t>Ground</t>
        </is>
      </c>
      <c r="H398" s="4" t="n">
        <v>384</v>
      </c>
      <c r="I398" s="5" t="n">
        <v>15932.58</v>
      </c>
      <c r="J398" s="2" t="inlineStr">
        <is>
          <t>Delayed</t>
        </is>
      </c>
      <c r="K398" s="4" t="n">
        <v>3</v>
      </c>
      <c r="L398" s="4" t="n">
        <v>5</v>
      </c>
      <c r="M398" s="4">
        <f>C398-B398</f>
        <v/>
      </c>
      <c r="N398" s="5">
        <f>I398/H398</f>
        <v/>
      </c>
      <c r="O398" s="2">
        <f>IF(J398="Cancelled","N/A",IF(L398&lt;=K398,"On Time","Late"))</f>
        <v/>
      </c>
    </row>
    <row r="399">
      <c r="A399" s="6" t="inlineStr">
        <is>
          <t>SHP-1398</t>
        </is>
      </c>
      <c r="B399" s="6" t="inlineStr">
        <is>
          <t>2026-01-27</t>
        </is>
      </c>
      <c r="C399" s="6" t="inlineStr">
        <is>
          <t>2026-01-27</t>
        </is>
      </c>
      <c r="D399" s="7" t="inlineStr">
        <is>
          <t>Hub-East</t>
        </is>
      </c>
      <c r="E399" s="7" t="inlineStr">
        <is>
          <t>Pune</t>
        </is>
      </c>
      <c r="F399" s="7" t="inlineStr">
        <is>
          <t>MetroEx</t>
        </is>
      </c>
      <c r="G399" s="7" t="inlineStr">
        <is>
          <t>Rail</t>
        </is>
      </c>
      <c r="H399" s="8" t="n">
        <v>1706</v>
      </c>
      <c r="I399" s="9" t="n">
        <v>36784.61</v>
      </c>
      <c r="J399" s="6" t="inlineStr">
        <is>
          <t>Cancelled</t>
        </is>
      </c>
      <c r="K399" s="8" t="n">
        <v>6</v>
      </c>
      <c r="L399" s="8" t="n">
        <v>0</v>
      </c>
      <c r="M399" s="8">
        <f>C399-B399</f>
        <v/>
      </c>
      <c r="N399" s="9">
        <f>I399/H399</f>
        <v/>
      </c>
      <c r="O399" s="6">
        <f>IF(J399="Cancelled","N/A",IF(L399&lt;=K399,"On Time","Late"))</f>
        <v/>
      </c>
    </row>
    <row r="400">
      <c r="A400" s="2" t="inlineStr">
        <is>
          <t>SHP-1399</t>
        </is>
      </c>
      <c r="B400" s="2" t="inlineStr">
        <is>
          <t>2026-01-01</t>
        </is>
      </c>
      <c r="C400" s="2" t="inlineStr">
        <is>
          <t>2026-01-03</t>
        </is>
      </c>
      <c r="D400" s="3" t="inlineStr">
        <is>
          <t>Hub-East</t>
        </is>
      </c>
      <c r="E400" s="3" t="inlineStr">
        <is>
          <t>Ahmedabad</t>
        </is>
      </c>
      <c r="F400" s="3" t="inlineStr">
        <is>
          <t>ApexCargo</t>
        </is>
      </c>
      <c r="G400" s="3" t="inlineStr">
        <is>
          <t>Air</t>
        </is>
      </c>
      <c r="H400" s="4" t="n">
        <v>140</v>
      </c>
      <c r="I400" s="5" t="n">
        <v>15727.3</v>
      </c>
      <c r="J400" s="2" t="inlineStr">
        <is>
          <t>Delivered</t>
        </is>
      </c>
      <c r="K400" s="4" t="n">
        <v>1</v>
      </c>
      <c r="L400" s="4" t="n">
        <v>3</v>
      </c>
      <c r="M400" s="4">
        <f>C400-B400</f>
        <v/>
      </c>
      <c r="N400" s="5">
        <f>I400/H400</f>
        <v/>
      </c>
      <c r="O400" s="2">
        <f>IF(J400="Cancelled","N/A",IF(L400&lt;=K400,"On Time","Late"))</f>
        <v/>
      </c>
    </row>
    <row r="401">
      <c r="A401" s="6" t="inlineStr">
        <is>
          <t>SHP-1400</t>
        </is>
      </c>
      <c r="B401" s="6" t="inlineStr">
        <is>
          <t>2026-01-09</t>
        </is>
      </c>
      <c r="C401" s="6" t="inlineStr">
        <is>
          <t>2026-01-09</t>
        </is>
      </c>
      <c r="D401" s="7" t="inlineStr">
        <is>
          <t>Hub-South</t>
        </is>
      </c>
      <c r="E401" s="7" t="inlineStr">
        <is>
          <t>Hyderabad</t>
        </is>
      </c>
      <c r="F401" s="7" t="inlineStr">
        <is>
          <t>ApexCargo</t>
        </is>
      </c>
      <c r="G401" s="7" t="inlineStr">
        <is>
          <t>Air</t>
        </is>
      </c>
      <c r="H401" s="8" t="n">
        <v>117</v>
      </c>
      <c r="I401" s="9" t="n">
        <v>13956.06</v>
      </c>
      <c r="J401" s="6" t="inlineStr">
        <is>
          <t>Delivered</t>
        </is>
      </c>
      <c r="K401" s="8" t="n">
        <v>1</v>
      </c>
      <c r="L401" s="8" t="n">
        <v>1</v>
      </c>
      <c r="M401" s="8">
        <f>C401-B401</f>
        <v/>
      </c>
      <c r="N401" s="9">
        <f>I401/H401</f>
        <v/>
      </c>
      <c r="O401" s="6">
        <f>IF(J401="Cancelled","N/A",IF(L401&lt;=K401,"On Time","Late"))</f>
        <v/>
      </c>
    </row>
    <row r="402">
      <c r="A402" s="2" t="inlineStr">
        <is>
          <t>SHP-1401</t>
        </is>
      </c>
      <c r="B402" s="2" t="inlineStr">
        <is>
          <t>2026-01-22</t>
        </is>
      </c>
      <c r="C402" s="2" t="inlineStr">
        <is>
          <t>2026-01-23</t>
        </is>
      </c>
      <c r="D402" s="3" t="inlineStr">
        <is>
          <t>Hub-South</t>
        </is>
      </c>
      <c r="E402" s="3" t="inlineStr">
        <is>
          <t>Bangalore</t>
        </is>
      </c>
      <c r="F402" s="3" t="inlineStr">
        <is>
          <t>SwiftLog</t>
        </is>
      </c>
      <c r="G402" s="3" t="inlineStr">
        <is>
          <t>Air</t>
        </is>
      </c>
      <c r="H402" s="4" t="n">
        <v>141</v>
      </c>
      <c r="I402" s="5" t="n">
        <v>13460.14</v>
      </c>
      <c r="J402" s="2" t="inlineStr">
        <is>
          <t>Delivered</t>
        </is>
      </c>
      <c r="K402" s="4" t="n">
        <v>2</v>
      </c>
      <c r="L402" s="4" t="n">
        <v>2</v>
      </c>
      <c r="M402" s="4">
        <f>C402-B402</f>
        <v/>
      </c>
      <c r="N402" s="5">
        <f>I402/H402</f>
        <v/>
      </c>
      <c r="O402" s="2">
        <f>IF(J402="Cancelled","N/A",IF(L402&lt;=K402,"On Time","Late"))</f>
        <v/>
      </c>
    </row>
    <row r="403">
      <c r="A403" s="6" t="inlineStr">
        <is>
          <t>SHP-1402</t>
        </is>
      </c>
      <c r="B403" s="6" t="inlineStr">
        <is>
          <t>2026-01-14</t>
        </is>
      </c>
      <c r="C403" s="6" t="inlineStr">
        <is>
          <t>2026-01-16</t>
        </is>
      </c>
      <c r="D403" s="7" t="inlineStr">
        <is>
          <t>Hub-North</t>
        </is>
      </c>
      <c r="E403" s="7" t="inlineStr">
        <is>
          <t>Hyderabad</t>
        </is>
      </c>
      <c r="F403" s="7" t="inlineStr">
        <is>
          <t>ApexCargo</t>
        </is>
      </c>
      <c r="G403" s="7" t="inlineStr">
        <is>
          <t>Ground</t>
        </is>
      </c>
      <c r="H403" s="8" t="n">
        <v>513</v>
      </c>
      <c r="I403" s="9" t="n">
        <v>19494.89</v>
      </c>
      <c r="J403" s="6" t="inlineStr">
        <is>
          <t>Delayed</t>
        </is>
      </c>
      <c r="K403" s="8" t="n">
        <v>3</v>
      </c>
      <c r="L403" s="8" t="n">
        <v>5</v>
      </c>
      <c r="M403" s="8">
        <f>C403-B403</f>
        <v/>
      </c>
      <c r="N403" s="9">
        <f>I403/H403</f>
        <v/>
      </c>
      <c r="O403" s="6">
        <f>IF(J403="Cancelled","N/A",IF(L403&lt;=K403,"On Time","Late"))</f>
        <v/>
      </c>
    </row>
    <row r="404">
      <c r="A404" s="2" t="inlineStr">
        <is>
          <t>SHP-1403</t>
        </is>
      </c>
      <c r="B404" s="2" t="inlineStr">
        <is>
          <t>2026-01-23</t>
        </is>
      </c>
      <c r="C404" s="2" t="inlineStr">
        <is>
          <t>2026-01-25</t>
        </is>
      </c>
      <c r="D404" s="3" t="inlineStr">
        <is>
          <t>Hub-South</t>
        </is>
      </c>
      <c r="E404" s="3" t="inlineStr">
        <is>
          <t>Ahmedabad</t>
        </is>
      </c>
      <c r="F404" s="3" t="inlineStr">
        <is>
          <t>ApexCargo</t>
        </is>
      </c>
      <c r="G404" s="3" t="inlineStr">
        <is>
          <t>Rail</t>
        </is>
      </c>
      <c r="H404" s="4" t="n">
        <v>1593</v>
      </c>
      <c r="I404" s="5" t="n">
        <v>23670.83</v>
      </c>
      <c r="J404" s="2" t="inlineStr">
        <is>
          <t>Delivered</t>
        </is>
      </c>
      <c r="K404" s="4" t="n">
        <v>8</v>
      </c>
      <c r="L404" s="4" t="n">
        <v>9</v>
      </c>
      <c r="M404" s="4">
        <f>C404-B404</f>
        <v/>
      </c>
      <c r="N404" s="5">
        <f>I404/H404</f>
        <v/>
      </c>
      <c r="O404" s="2">
        <f>IF(J404="Cancelled","N/A",IF(L404&lt;=K404,"On Time","Late"))</f>
        <v/>
      </c>
    </row>
    <row r="405">
      <c r="A405" s="6" t="inlineStr">
        <is>
          <t>SHP-1404</t>
        </is>
      </c>
      <c r="B405" s="6" t="inlineStr">
        <is>
          <t>2026-01-07</t>
        </is>
      </c>
      <c r="C405" s="6" t="inlineStr">
        <is>
          <t>2026-01-07</t>
        </is>
      </c>
      <c r="D405" s="7" t="inlineStr">
        <is>
          <t>Hub-South</t>
        </is>
      </c>
      <c r="E405" s="7" t="inlineStr">
        <is>
          <t>Bangalore</t>
        </is>
      </c>
      <c r="F405" s="7" t="inlineStr">
        <is>
          <t>SwiftLog</t>
        </is>
      </c>
      <c r="G405" s="7" t="inlineStr">
        <is>
          <t>Rail</t>
        </is>
      </c>
      <c r="H405" s="8" t="n">
        <v>615</v>
      </c>
      <c r="I405" s="9" t="n">
        <v>8609.4</v>
      </c>
      <c r="J405" s="6" t="inlineStr">
        <is>
          <t>Delivered</t>
        </is>
      </c>
      <c r="K405" s="8" t="n">
        <v>6</v>
      </c>
      <c r="L405" s="8" t="n">
        <v>8</v>
      </c>
      <c r="M405" s="8">
        <f>C405-B405</f>
        <v/>
      </c>
      <c r="N405" s="9">
        <f>I405/H405</f>
        <v/>
      </c>
      <c r="O405" s="6">
        <f>IF(J405="Cancelled","N/A",IF(L405&lt;=K405,"On Time","Late"))</f>
        <v/>
      </c>
    </row>
    <row r="406">
      <c r="A406" s="2" t="inlineStr">
        <is>
          <t>SHP-1405</t>
        </is>
      </c>
      <c r="B406" s="2" t="inlineStr">
        <is>
          <t>2026-01-17</t>
        </is>
      </c>
      <c r="C406" s="2" t="inlineStr">
        <is>
          <t>2026-01-17</t>
        </is>
      </c>
      <c r="D406" s="3" t="inlineStr">
        <is>
          <t>Hub-East</t>
        </is>
      </c>
      <c r="E406" s="3" t="inlineStr">
        <is>
          <t>Kolkata</t>
        </is>
      </c>
      <c r="F406" s="3" t="inlineStr">
        <is>
          <t>SwiftLog</t>
        </is>
      </c>
      <c r="G406" s="3" t="inlineStr">
        <is>
          <t>Rail</t>
        </is>
      </c>
      <c r="H406" s="4" t="n">
        <v>566</v>
      </c>
      <c r="I406" s="5" t="n">
        <v>8822.139999999999</v>
      </c>
      <c r="J406" s="2" t="inlineStr">
        <is>
          <t>Delivered</t>
        </is>
      </c>
      <c r="K406" s="4" t="n">
        <v>8</v>
      </c>
      <c r="L406" s="4" t="n">
        <v>9</v>
      </c>
      <c r="M406" s="4">
        <f>C406-B406</f>
        <v/>
      </c>
      <c r="N406" s="5">
        <f>I406/H406</f>
        <v/>
      </c>
      <c r="O406" s="2">
        <f>IF(J406="Cancelled","N/A",IF(L406&lt;=K406,"On Time","Late"))</f>
        <v/>
      </c>
    </row>
    <row r="407">
      <c r="A407" s="6" t="inlineStr">
        <is>
          <t>SHP-1406</t>
        </is>
      </c>
      <c r="B407" s="6" t="inlineStr">
        <is>
          <t>2026-02-13</t>
        </is>
      </c>
      <c r="C407" s="6" t="inlineStr">
        <is>
          <t>2026-02-15</t>
        </is>
      </c>
      <c r="D407" s="7" t="inlineStr">
        <is>
          <t>Hub-West</t>
        </is>
      </c>
      <c r="E407" s="7" t="inlineStr">
        <is>
          <t>Ahmedabad</t>
        </is>
      </c>
      <c r="F407" s="7" t="inlineStr">
        <is>
          <t>SwiftLog</t>
        </is>
      </c>
      <c r="G407" s="7" t="inlineStr">
        <is>
          <t>Rail</t>
        </is>
      </c>
      <c r="H407" s="8" t="n">
        <v>1925</v>
      </c>
      <c r="I407" s="9" t="n">
        <v>28637.04</v>
      </c>
      <c r="J407" s="6" t="inlineStr">
        <is>
          <t>In Transit</t>
        </is>
      </c>
      <c r="K407" s="8" t="n">
        <v>5</v>
      </c>
      <c r="L407" s="8" t="n">
        <v>5</v>
      </c>
      <c r="M407" s="8">
        <f>C407-B407</f>
        <v/>
      </c>
      <c r="N407" s="9">
        <f>I407/H407</f>
        <v/>
      </c>
      <c r="O407" s="6">
        <f>IF(J407="Cancelled","N/A",IF(L407&lt;=K407,"On Time","Late"))</f>
        <v/>
      </c>
    </row>
    <row r="408">
      <c r="A408" s="2" t="inlineStr">
        <is>
          <t>SHP-1407</t>
        </is>
      </c>
      <c r="B408" s="2" t="inlineStr">
        <is>
          <t>2026-01-25</t>
        </is>
      </c>
      <c r="C408" s="2" t="inlineStr">
        <is>
          <t>2026-01-26</t>
        </is>
      </c>
      <c r="D408" s="3" t="inlineStr">
        <is>
          <t>Hub-North</t>
        </is>
      </c>
      <c r="E408" s="3" t="inlineStr">
        <is>
          <t>Mumbai</t>
        </is>
      </c>
      <c r="F408" s="3" t="inlineStr">
        <is>
          <t>SwiftLog</t>
        </is>
      </c>
      <c r="G408" s="3" t="inlineStr">
        <is>
          <t>Rail</t>
        </is>
      </c>
      <c r="H408" s="4" t="n">
        <v>1014</v>
      </c>
      <c r="I408" s="5" t="n">
        <v>14227.3</v>
      </c>
      <c r="J408" s="2" t="inlineStr">
        <is>
          <t>Delivered</t>
        </is>
      </c>
      <c r="K408" s="4" t="n">
        <v>8</v>
      </c>
      <c r="L408" s="4" t="n">
        <v>10</v>
      </c>
      <c r="M408" s="4">
        <f>C408-B408</f>
        <v/>
      </c>
      <c r="N408" s="5">
        <f>I408/H408</f>
        <v/>
      </c>
      <c r="O408" s="2">
        <f>IF(J408="Cancelled","N/A",IF(L408&lt;=K408,"On Time","Late"))</f>
        <v/>
      </c>
    </row>
    <row r="409">
      <c r="A409" s="6" t="inlineStr">
        <is>
          <t>SHP-1408</t>
        </is>
      </c>
      <c r="B409" s="6" t="inlineStr">
        <is>
          <t>2026-02-15</t>
        </is>
      </c>
      <c r="C409" s="6" t="inlineStr">
        <is>
          <t>2026-02-16</t>
        </is>
      </c>
      <c r="D409" s="7" t="inlineStr">
        <is>
          <t>Hub-West</t>
        </is>
      </c>
      <c r="E409" s="7" t="inlineStr">
        <is>
          <t>Chennai</t>
        </is>
      </c>
      <c r="F409" s="7" t="inlineStr">
        <is>
          <t>MetroEx</t>
        </is>
      </c>
      <c r="G409" s="7" t="inlineStr">
        <is>
          <t>Air</t>
        </is>
      </c>
      <c r="H409" s="8" t="n">
        <v>55</v>
      </c>
      <c r="I409" s="9" t="n">
        <v>6568.15</v>
      </c>
      <c r="J409" s="6" t="inlineStr">
        <is>
          <t>Delivered</t>
        </is>
      </c>
      <c r="K409" s="8" t="n">
        <v>1</v>
      </c>
      <c r="L409" s="8" t="n">
        <v>1</v>
      </c>
      <c r="M409" s="8">
        <f>C409-B409</f>
        <v/>
      </c>
      <c r="N409" s="9">
        <f>I409/H409</f>
        <v/>
      </c>
      <c r="O409" s="6">
        <f>IF(J409="Cancelled","N/A",IF(L409&lt;=K409,"On Time","Late"))</f>
        <v/>
      </c>
    </row>
    <row r="410">
      <c r="A410" s="2" t="inlineStr">
        <is>
          <t>SHP-1409</t>
        </is>
      </c>
      <c r="B410" s="2" t="inlineStr">
        <is>
          <t>2026-02-02</t>
        </is>
      </c>
      <c r="C410" s="2" t="inlineStr">
        <is>
          <t>2026-02-02</t>
        </is>
      </c>
      <c r="D410" s="3" t="inlineStr">
        <is>
          <t>Hub-South</t>
        </is>
      </c>
      <c r="E410" s="3" t="inlineStr">
        <is>
          <t>Mumbai</t>
        </is>
      </c>
      <c r="F410" s="3" t="inlineStr">
        <is>
          <t>MetroEx</t>
        </is>
      </c>
      <c r="G410" s="3" t="inlineStr">
        <is>
          <t>Air</t>
        </is>
      </c>
      <c r="H410" s="4" t="n">
        <v>77</v>
      </c>
      <c r="I410" s="5" t="n">
        <v>6895.53</v>
      </c>
      <c r="J410" s="2" t="inlineStr">
        <is>
          <t>Delivered</t>
        </is>
      </c>
      <c r="K410" s="4" t="n">
        <v>2</v>
      </c>
      <c r="L410" s="4" t="n">
        <v>2</v>
      </c>
      <c r="M410" s="4">
        <f>C410-B410</f>
        <v/>
      </c>
      <c r="N410" s="5">
        <f>I410/H410</f>
        <v/>
      </c>
      <c r="O410" s="2">
        <f>IF(J410="Cancelled","N/A",IF(L410&lt;=K410,"On Time","Late"))</f>
        <v/>
      </c>
    </row>
    <row r="411">
      <c r="A411" s="6" t="inlineStr">
        <is>
          <t>SHP-1410</t>
        </is>
      </c>
      <c r="B411" s="6" t="inlineStr">
        <is>
          <t>2026-01-30</t>
        </is>
      </c>
      <c r="C411" s="6" t="inlineStr">
        <is>
          <t>2026-01-30</t>
        </is>
      </c>
      <c r="D411" s="7" t="inlineStr">
        <is>
          <t>Hub-East</t>
        </is>
      </c>
      <c r="E411" s="7" t="inlineStr">
        <is>
          <t>Bangalore</t>
        </is>
      </c>
      <c r="F411" s="7" t="inlineStr">
        <is>
          <t>MetroEx</t>
        </is>
      </c>
      <c r="G411" s="7" t="inlineStr">
        <is>
          <t>Rail</t>
        </is>
      </c>
      <c r="H411" s="8" t="n">
        <v>604</v>
      </c>
      <c r="I411" s="9" t="n">
        <v>11920.91</v>
      </c>
      <c r="J411" s="6" t="inlineStr">
        <is>
          <t>Cancelled</t>
        </is>
      </c>
      <c r="K411" s="8" t="n">
        <v>7</v>
      </c>
      <c r="L411" s="8" t="n">
        <v>0</v>
      </c>
      <c r="M411" s="8">
        <f>C411-B411</f>
        <v/>
      </c>
      <c r="N411" s="9">
        <f>I411/H411</f>
        <v/>
      </c>
      <c r="O411" s="6">
        <f>IF(J411="Cancelled","N/A",IF(L411&lt;=K411,"On Time","Late"))</f>
        <v/>
      </c>
    </row>
    <row r="412">
      <c r="A412" s="2" t="inlineStr">
        <is>
          <t>SHP-1411</t>
        </is>
      </c>
      <c r="B412" s="2" t="inlineStr">
        <is>
          <t>2026-02-06</t>
        </is>
      </c>
      <c r="C412" s="2" t="inlineStr">
        <is>
          <t>2026-02-08</t>
        </is>
      </c>
      <c r="D412" s="3" t="inlineStr">
        <is>
          <t>Hub-North</t>
        </is>
      </c>
      <c r="E412" s="3" t="inlineStr">
        <is>
          <t>Delhi</t>
        </is>
      </c>
      <c r="F412" s="3" t="inlineStr">
        <is>
          <t>ApexCargo</t>
        </is>
      </c>
      <c r="G412" s="3" t="inlineStr">
        <is>
          <t>Air</t>
        </is>
      </c>
      <c r="H412" s="4" t="n">
        <v>144</v>
      </c>
      <c r="I412" s="5" t="n">
        <v>13348.61</v>
      </c>
      <c r="J412" s="2" t="inlineStr">
        <is>
          <t>Delivered</t>
        </is>
      </c>
      <c r="K412" s="4" t="n">
        <v>1</v>
      </c>
      <c r="L412" s="4" t="n">
        <v>2</v>
      </c>
      <c r="M412" s="4">
        <f>C412-B412</f>
        <v/>
      </c>
      <c r="N412" s="5">
        <f>I412/H412</f>
        <v/>
      </c>
      <c r="O412" s="2">
        <f>IF(J412="Cancelled","N/A",IF(L412&lt;=K412,"On Time","Late"))</f>
        <v/>
      </c>
    </row>
    <row r="413">
      <c r="A413" s="6" t="inlineStr">
        <is>
          <t>SHP-1412</t>
        </is>
      </c>
      <c r="B413" s="6" t="inlineStr">
        <is>
          <t>2026-01-11</t>
        </is>
      </c>
      <c r="C413" s="6" t="inlineStr">
        <is>
          <t>2026-01-12</t>
        </is>
      </c>
      <c r="D413" s="7" t="inlineStr">
        <is>
          <t>Hub-South</t>
        </is>
      </c>
      <c r="E413" s="7" t="inlineStr">
        <is>
          <t>Delhi</t>
        </is>
      </c>
      <c r="F413" s="7" t="inlineStr">
        <is>
          <t>MetroEx</t>
        </is>
      </c>
      <c r="G413" s="7" t="inlineStr">
        <is>
          <t>Ground</t>
        </is>
      </c>
      <c r="H413" s="8" t="n">
        <v>259</v>
      </c>
      <c r="I413" s="9" t="n">
        <v>9911.07</v>
      </c>
      <c r="J413" s="6" t="inlineStr">
        <is>
          <t>Delayed</t>
        </is>
      </c>
      <c r="K413" s="8" t="n">
        <v>4</v>
      </c>
      <c r="L413" s="8" t="n">
        <v>8</v>
      </c>
      <c r="M413" s="8">
        <f>C413-B413</f>
        <v/>
      </c>
      <c r="N413" s="9">
        <f>I413/H413</f>
        <v/>
      </c>
      <c r="O413" s="6">
        <f>IF(J413="Cancelled","N/A",IF(L413&lt;=K413,"On Time","Late"))</f>
        <v/>
      </c>
    </row>
    <row r="414">
      <c r="A414" s="2" t="inlineStr">
        <is>
          <t>SHP-1413</t>
        </is>
      </c>
      <c r="B414" s="2" t="inlineStr">
        <is>
          <t>2026-01-14</t>
        </is>
      </c>
      <c r="C414" s="2" t="inlineStr">
        <is>
          <t>2026-01-16</t>
        </is>
      </c>
      <c r="D414" s="3" t="inlineStr">
        <is>
          <t>Hub-South</t>
        </is>
      </c>
      <c r="E414" s="3" t="inlineStr">
        <is>
          <t>Mumbai</t>
        </is>
      </c>
      <c r="F414" s="3" t="inlineStr">
        <is>
          <t>SwiftLog</t>
        </is>
      </c>
      <c r="G414" s="3" t="inlineStr">
        <is>
          <t>Rail</t>
        </is>
      </c>
      <c r="H414" s="4" t="n">
        <v>1208</v>
      </c>
      <c r="I414" s="5" t="n">
        <v>19879.66</v>
      </c>
      <c r="J414" s="2" t="inlineStr">
        <is>
          <t>Delivered</t>
        </is>
      </c>
      <c r="K414" s="4" t="n">
        <v>6</v>
      </c>
      <c r="L414" s="4" t="n">
        <v>8</v>
      </c>
      <c r="M414" s="4">
        <f>C414-B414</f>
        <v/>
      </c>
      <c r="N414" s="5">
        <f>I414/H414</f>
        <v/>
      </c>
      <c r="O414" s="2">
        <f>IF(J414="Cancelled","N/A",IF(L414&lt;=K414,"On Time","Late"))</f>
        <v/>
      </c>
    </row>
    <row r="415">
      <c r="A415" s="6" t="inlineStr">
        <is>
          <t>SHP-1414</t>
        </is>
      </c>
      <c r="B415" s="6" t="inlineStr">
        <is>
          <t>2026-01-21</t>
        </is>
      </c>
      <c r="C415" s="6" t="inlineStr">
        <is>
          <t>2026-01-22</t>
        </is>
      </c>
      <c r="D415" s="7" t="inlineStr">
        <is>
          <t>Hub-East</t>
        </is>
      </c>
      <c r="E415" s="7" t="inlineStr">
        <is>
          <t>Ahmedabad</t>
        </is>
      </c>
      <c r="F415" s="7" t="inlineStr">
        <is>
          <t>MetroEx</t>
        </is>
      </c>
      <c r="G415" s="7" t="inlineStr">
        <is>
          <t>Rail</t>
        </is>
      </c>
      <c r="H415" s="8" t="n">
        <v>1982</v>
      </c>
      <c r="I415" s="9" t="n">
        <v>29389.67</v>
      </c>
      <c r="J415" s="6" t="inlineStr">
        <is>
          <t>Cancelled</t>
        </is>
      </c>
      <c r="K415" s="8" t="n">
        <v>7</v>
      </c>
      <c r="L415" s="8" t="n">
        <v>0</v>
      </c>
      <c r="M415" s="8">
        <f>C415-B415</f>
        <v/>
      </c>
      <c r="N415" s="9">
        <f>I415/H415</f>
        <v/>
      </c>
      <c r="O415" s="6">
        <f>IF(J415="Cancelled","N/A",IF(L415&lt;=K415,"On Time","Late"))</f>
        <v/>
      </c>
    </row>
    <row r="416">
      <c r="A416" s="2" t="inlineStr">
        <is>
          <t>SHP-1415</t>
        </is>
      </c>
      <c r="B416" s="2" t="inlineStr">
        <is>
          <t>2026-02-01</t>
        </is>
      </c>
      <c r="C416" s="2" t="inlineStr">
        <is>
          <t>2026-02-01</t>
        </is>
      </c>
      <c r="D416" s="3" t="inlineStr">
        <is>
          <t>Hub-North</t>
        </is>
      </c>
      <c r="E416" s="3" t="inlineStr">
        <is>
          <t>Chennai</t>
        </is>
      </c>
      <c r="F416" s="3" t="inlineStr">
        <is>
          <t>MetroEx</t>
        </is>
      </c>
      <c r="G416" s="3" t="inlineStr">
        <is>
          <t>Rail</t>
        </is>
      </c>
      <c r="H416" s="4" t="n">
        <v>668</v>
      </c>
      <c r="I416" s="5" t="n">
        <v>14350.05</v>
      </c>
      <c r="J416" s="2" t="inlineStr">
        <is>
          <t>Delivered</t>
        </is>
      </c>
      <c r="K416" s="4" t="n">
        <v>6</v>
      </c>
      <c r="L416" s="4" t="n">
        <v>8</v>
      </c>
      <c r="M416" s="4">
        <f>C416-B416</f>
        <v/>
      </c>
      <c r="N416" s="5">
        <f>I416/H416</f>
        <v/>
      </c>
      <c r="O416" s="2">
        <f>IF(J416="Cancelled","N/A",IF(L416&lt;=K416,"On Time","Late"))</f>
        <v/>
      </c>
    </row>
    <row r="417">
      <c r="A417" s="6" t="inlineStr">
        <is>
          <t>SHP-1416</t>
        </is>
      </c>
      <c r="B417" s="6" t="inlineStr">
        <is>
          <t>2026-01-05</t>
        </is>
      </c>
      <c r="C417" s="6" t="inlineStr">
        <is>
          <t>2026-01-05</t>
        </is>
      </c>
      <c r="D417" s="7" t="inlineStr">
        <is>
          <t>Hub-West</t>
        </is>
      </c>
      <c r="E417" s="7" t="inlineStr">
        <is>
          <t>Ahmedabad</t>
        </is>
      </c>
      <c r="F417" s="7" t="inlineStr">
        <is>
          <t>SwiftLog</t>
        </is>
      </c>
      <c r="G417" s="7" t="inlineStr">
        <is>
          <t>Ground</t>
        </is>
      </c>
      <c r="H417" s="8" t="n">
        <v>425</v>
      </c>
      <c r="I417" s="9" t="n">
        <v>17669.36</v>
      </c>
      <c r="J417" s="6" t="inlineStr">
        <is>
          <t>In Transit</t>
        </is>
      </c>
      <c r="K417" s="8" t="n">
        <v>5</v>
      </c>
      <c r="L417" s="8" t="n">
        <v>5</v>
      </c>
      <c r="M417" s="8">
        <f>C417-B417</f>
        <v/>
      </c>
      <c r="N417" s="9">
        <f>I417/H417</f>
        <v/>
      </c>
      <c r="O417" s="6">
        <f>IF(J417="Cancelled","N/A",IF(L417&lt;=K417,"On Time","Late"))</f>
        <v/>
      </c>
    </row>
    <row r="418">
      <c r="A418" s="2" t="inlineStr">
        <is>
          <t>SHP-1417</t>
        </is>
      </c>
      <c r="B418" s="2" t="inlineStr">
        <is>
          <t>2026-02-11</t>
        </is>
      </c>
      <c r="C418" s="2" t="inlineStr">
        <is>
          <t>2026-02-11</t>
        </is>
      </c>
      <c r="D418" s="3" t="inlineStr">
        <is>
          <t>Hub-West</t>
        </is>
      </c>
      <c r="E418" s="3" t="inlineStr">
        <is>
          <t>Mumbai</t>
        </is>
      </c>
      <c r="F418" s="3" t="inlineStr">
        <is>
          <t>MetroEx</t>
        </is>
      </c>
      <c r="G418" s="3" t="inlineStr">
        <is>
          <t>Rail</t>
        </is>
      </c>
      <c r="H418" s="4" t="n">
        <v>1179</v>
      </c>
      <c r="I418" s="5" t="n">
        <v>14594.68</v>
      </c>
      <c r="J418" s="2" t="inlineStr">
        <is>
          <t>Delivered</t>
        </is>
      </c>
      <c r="K418" s="4" t="n">
        <v>5</v>
      </c>
      <c r="L418" s="4" t="n">
        <v>5</v>
      </c>
      <c r="M418" s="4">
        <f>C418-B418</f>
        <v/>
      </c>
      <c r="N418" s="5">
        <f>I418/H418</f>
        <v/>
      </c>
      <c r="O418" s="2">
        <f>IF(J418="Cancelled","N/A",IF(L418&lt;=K418,"On Time","Late"))</f>
        <v/>
      </c>
    </row>
    <row r="419">
      <c r="A419" s="6" t="inlineStr">
        <is>
          <t>SHP-1418</t>
        </is>
      </c>
      <c r="B419" s="6" t="inlineStr">
        <is>
          <t>2026-01-17</t>
        </is>
      </c>
      <c r="C419" s="6" t="inlineStr">
        <is>
          <t>2026-01-19</t>
        </is>
      </c>
      <c r="D419" s="7" t="inlineStr">
        <is>
          <t>Hub-East</t>
        </is>
      </c>
      <c r="E419" s="7" t="inlineStr">
        <is>
          <t>Chennai</t>
        </is>
      </c>
      <c r="F419" s="7" t="inlineStr">
        <is>
          <t>MetroEx</t>
        </is>
      </c>
      <c r="G419" s="7" t="inlineStr">
        <is>
          <t>Air</t>
        </is>
      </c>
      <c r="H419" s="8" t="n">
        <v>109</v>
      </c>
      <c r="I419" s="9" t="n">
        <v>10986.04</v>
      </c>
      <c r="J419" s="6" t="inlineStr">
        <is>
          <t>In Transit</t>
        </is>
      </c>
      <c r="K419" s="8" t="n">
        <v>2</v>
      </c>
      <c r="L419" s="8" t="n">
        <v>2</v>
      </c>
      <c r="M419" s="8">
        <f>C419-B419</f>
        <v/>
      </c>
      <c r="N419" s="9">
        <f>I419/H419</f>
        <v/>
      </c>
      <c r="O419" s="6">
        <f>IF(J419="Cancelled","N/A",IF(L419&lt;=K419,"On Time","Late"))</f>
        <v/>
      </c>
    </row>
    <row r="420">
      <c r="A420" s="2" t="inlineStr">
        <is>
          <t>SHP-1419</t>
        </is>
      </c>
      <c r="B420" s="2" t="inlineStr">
        <is>
          <t>2026-01-21</t>
        </is>
      </c>
      <c r="C420" s="2" t="inlineStr">
        <is>
          <t>2026-01-21</t>
        </is>
      </c>
      <c r="D420" s="3" t="inlineStr">
        <is>
          <t>Hub-South</t>
        </is>
      </c>
      <c r="E420" s="3" t="inlineStr">
        <is>
          <t>Delhi</t>
        </is>
      </c>
      <c r="F420" s="3" t="inlineStr">
        <is>
          <t>ApexCargo</t>
        </is>
      </c>
      <c r="G420" s="3" t="inlineStr">
        <is>
          <t>Ground</t>
        </is>
      </c>
      <c r="H420" s="4" t="n">
        <v>478</v>
      </c>
      <c r="I420" s="5" t="n">
        <v>18835.93</v>
      </c>
      <c r="J420" s="2" t="inlineStr">
        <is>
          <t>Delivered</t>
        </is>
      </c>
      <c r="K420" s="4" t="n">
        <v>3</v>
      </c>
      <c r="L420" s="4" t="n">
        <v>5</v>
      </c>
      <c r="M420" s="4">
        <f>C420-B420</f>
        <v/>
      </c>
      <c r="N420" s="5">
        <f>I420/H420</f>
        <v/>
      </c>
      <c r="O420" s="2">
        <f>IF(J420="Cancelled","N/A",IF(L420&lt;=K420,"On Time","Late"))</f>
        <v/>
      </c>
    </row>
    <row r="421">
      <c r="A421" s="6" t="inlineStr">
        <is>
          <t>SHP-1420</t>
        </is>
      </c>
      <c r="B421" s="6" t="inlineStr">
        <is>
          <t>2026-01-05</t>
        </is>
      </c>
      <c r="C421" s="6" t="inlineStr">
        <is>
          <t>2026-01-06</t>
        </is>
      </c>
      <c r="D421" s="7" t="inlineStr">
        <is>
          <t>Hub-East</t>
        </is>
      </c>
      <c r="E421" s="7" t="inlineStr">
        <is>
          <t>Kolkata</t>
        </is>
      </c>
      <c r="F421" s="7" t="inlineStr">
        <is>
          <t>ApexCargo</t>
        </is>
      </c>
      <c r="G421" s="7" t="inlineStr">
        <is>
          <t>Air</t>
        </is>
      </c>
      <c r="H421" s="8" t="n">
        <v>32</v>
      </c>
      <c r="I421" s="9" t="n">
        <v>3035.3</v>
      </c>
      <c r="J421" s="6" t="inlineStr">
        <is>
          <t>In Transit</t>
        </is>
      </c>
      <c r="K421" s="8" t="n">
        <v>2</v>
      </c>
      <c r="L421" s="8" t="n">
        <v>2</v>
      </c>
      <c r="M421" s="8">
        <f>C421-B421</f>
        <v/>
      </c>
      <c r="N421" s="9">
        <f>I421/H421</f>
        <v/>
      </c>
      <c r="O421" s="6">
        <f>IF(J421="Cancelled","N/A",IF(L421&lt;=K421,"On Time","Late"))</f>
        <v/>
      </c>
    </row>
    <row r="422">
      <c r="A422" s="2" t="inlineStr">
        <is>
          <t>SHP-1421</t>
        </is>
      </c>
      <c r="B422" s="2" t="inlineStr">
        <is>
          <t>2026-01-26</t>
        </is>
      </c>
      <c r="C422" s="2" t="inlineStr">
        <is>
          <t>2026-01-26</t>
        </is>
      </c>
      <c r="D422" s="3" t="inlineStr">
        <is>
          <t>Hub-South</t>
        </is>
      </c>
      <c r="E422" s="3" t="inlineStr">
        <is>
          <t>Bangalore</t>
        </is>
      </c>
      <c r="F422" s="3" t="inlineStr">
        <is>
          <t>ApexCargo</t>
        </is>
      </c>
      <c r="G422" s="3" t="inlineStr">
        <is>
          <t>Ground</t>
        </is>
      </c>
      <c r="H422" s="4" t="n">
        <v>219</v>
      </c>
      <c r="I422" s="5" t="n">
        <v>8745.780000000001</v>
      </c>
      <c r="J422" s="2" t="inlineStr">
        <is>
          <t>Delivered</t>
        </is>
      </c>
      <c r="K422" s="4" t="n">
        <v>5</v>
      </c>
      <c r="L422" s="4" t="n">
        <v>7</v>
      </c>
      <c r="M422" s="4">
        <f>C422-B422</f>
        <v/>
      </c>
      <c r="N422" s="5">
        <f>I422/H422</f>
        <v/>
      </c>
      <c r="O422" s="2">
        <f>IF(J422="Cancelled","N/A",IF(L422&lt;=K422,"On Time","Late"))</f>
        <v/>
      </c>
    </row>
    <row r="423">
      <c r="A423" s="6" t="inlineStr">
        <is>
          <t>SHP-1422</t>
        </is>
      </c>
      <c r="B423" s="6" t="inlineStr">
        <is>
          <t>2026-01-10</t>
        </is>
      </c>
      <c r="C423" s="6" t="inlineStr">
        <is>
          <t>2026-01-11</t>
        </is>
      </c>
      <c r="D423" s="7" t="inlineStr">
        <is>
          <t>Hub-North</t>
        </is>
      </c>
      <c r="E423" s="7" t="inlineStr">
        <is>
          <t>Mumbai</t>
        </is>
      </c>
      <c r="F423" s="7" t="inlineStr">
        <is>
          <t>ApexCargo</t>
        </is>
      </c>
      <c r="G423" s="7" t="inlineStr">
        <is>
          <t>Rail</t>
        </is>
      </c>
      <c r="H423" s="8" t="n">
        <v>789</v>
      </c>
      <c r="I423" s="9" t="n">
        <v>10440.33</v>
      </c>
      <c r="J423" s="6" t="inlineStr">
        <is>
          <t>In Transit</t>
        </is>
      </c>
      <c r="K423" s="8" t="n">
        <v>5</v>
      </c>
      <c r="L423" s="8" t="n">
        <v>5</v>
      </c>
      <c r="M423" s="8">
        <f>C423-B423</f>
        <v/>
      </c>
      <c r="N423" s="9">
        <f>I423/H423</f>
        <v/>
      </c>
      <c r="O423" s="6">
        <f>IF(J423="Cancelled","N/A",IF(L423&lt;=K423,"On Time","Late"))</f>
        <v/>
      </c>
    </row>
    <row r="424">
      <c r="A424" s="2" t="inlineStr">
        <is>
          <t>SHP-1423</t>
        </is>
      </c>
      <c r="B424" s="2" t="inlineStr">
        <is>
          <t>2026-02-04</t>
        </is>
      </c>
      <c r="C424" s="2" t="inlineStr">
        <is>
          <t>2026-02-06</t>
        </is>
      </c>
      <c r="D424" s="3" t="inlineStr">
        <is>
          <t>Hub-East</t>
        </is>
      </c>
      <c r="E424" s="3" t="inlineStr">
        <is>
          <t>Kolkata</t>
        </is>
      </c>
      <c r="F424" s="3" t="inlineStr">
        <is>
          <t>SwiftLog</t>
        </is>
      </c>
      <c r="G424" s="3" t="inlineStr">
        <is>
          <t>Rail</t>
        </is>
      </c>
      <c r="H424" s="4" t="n">
        <v>1986</v>
      </c>
      <c r="I424" s="5" t="n">
        <v>30660.89</v>
      </c>
      <c r="J424" s="2" t="inlineStr">
        <is>
          <t>Delivered</t>
        </is>
      </c>
      <c r="K424" s="4" t="n">
        <v>8</v>
      </c>
      <c r="L424" s="4" t="n">
        <v>8</v>
      </c>
      <c r="M424" s="4">
        <f>C424-B424</f>
        <v/>
      </c>
      <c r="N424" s="5">
        <f>I424/H424</f>
        <v/>
      </c>
      <c r="O424" s="2">
        <f>IF(J424="Cancelled","N/A",IF(L424&lt;=K424,"On Time","Late"))</f>
        <v/>
      </c>
    </row>
    <row r="425">
      <c r="A425" s="6" t="inlineStr">
        <is>
          <t>SHP-1424</t>
        </is>
      </c>
      <c r="B425" s="6" t="inlineStr">
        <is>
          <t>2026-01-12</t>
        </is>
      </c>
      <c r="C425" s="6" t="inlineStr">
        <is>
          <t>2026-01-12</t>
        </is>
      </c>
      <c r="D425" s="7" t="inlineStr">
        <is>
          <t>Hub-North</t>
        </is>
      </c>
      <c r="E425" s="7" t="inlineStr">
        <is>
          <t>Chennai</t>
        </is>
      </c>
      <c r="F425" s="7" t="inlineStr">
        <is>
          <t>SwiftLog</t>
        </is>
      </c>
      <c r="G425" s="7" t="inlineStr">
        <is>
          <t>Ground</t>
        </is>
      </c>
      <c r="H425" s="8" t="n">
        <v>493</v>
      </c>
      <c r="I425" s="9" t="n">
        <v>20209.65</v>
      </c>
      <c r="J425" s="6" t="inlineStr">
        <is>
          <t>Cancelled</t>
        </is>
      </c>
      <c r="K425" s="8" t="n">
        <v>3</v>
      </c>
      <c r="L425" s="8" t="n">
        <v>0</v>
      </c>
      <c r="M425" s="8">
        <f>C425-B425</f>
        <v/>
      </c>
      <c r="N425" s="9">
        <f>I425/H425</f>
        <v/>
      </c>
      <c r="O425" s="6">
        <f>IF(J425="Cancelled","N/A",IF(L425&lt;=K425,"On Time","Late"))</f>
        <v/>
      </c>
    </row>
    <row r="426">
      <c r="A426" s="2" t="inlineStr">
        <is>
          <t>SHP-1425</t>
        </is>
      </c>
      <c r="B426" s="2" t="inlineStr">
        <is>
          <t>2026-02-11</t>
        </is>
      </c>
      <c r="C426" s="2" t="inlineStr">
        <is>
          <t>2026-02-13</t>
        </is>
      </c>
      <c r="D426" s="3" t="inlineStr">
        <is>
          <t>Hub-East</t>
        </is>
      </c>
      <c r="E426" s="3" t="inlineStr">
        <is>
          <t>Kolkata</t>
        </is>
      </c>
      <c r="F426" s="3" t="inlineStr">
        <is>
          <t>ApexCargo</t>
        </is>
      </c>
      <c r="G426" s="3" t="inlineStr">
        <is>
          <t>Ground</t>
        </is>
      </c>
      <c r="H426" s="4" t="n">
        <v>278</v>
      </c>
      <c r="I426" s="5" t="n">
        <v>7496.01</v>
      </c>
      <c r="J426" s="2" t="inlineStr">
        <is>
          <t>Cancelled</t>
        </is>
      </c>
      <c r="K426" s="4" t="n">
        <v>5</v>
      </c>
      <c r="L426" s="4" t="n">
        <v>0</v>
      </c>
      <c r="M426" s="4">
        <f>C426-B426</f>
        <v/>
      </c>
      <c r="N426" s="5">
        <f>I426/H426</f>
        <v/>
      </c>
      <c r="O426" s="2">
        <f>IF(J426="Cancelled","N/A",IF(L426&lt;=K426,"On Time","Late"))</f>
        <v/>
      </c>
    </row>
    <row r="427">
      <c r="A427" s="6" t="inlineStr">
        <is>
          <t>SHP-1426</t>
        </is>
      </c>
      <c r="B427" s="6" t="inlineStr">
        <is>
          <t>2026-01-22</t>
        </is>
      </c>
      <c r="C427" s="6" t="inlineStr">
        <is>
          <t>2026-01-23</t>
        </is>
      </c>
      <c r="D427" s="7" t="inlineStr">
        <is>
          <t>Hub-West</t>
        </is>
      </c>
      <c r="E427" s="7" t="inlineStr">
        <is>
          <t>Chennai</t>
        </is>
      </c>
      <c r="F427" s="7" t="inlineStr">
        <is>
          <t>SwiftLog</t>
        </is>
      </c>
      <c r="G427" s="7" t="inlineStr">
        <is>
          <t>Air</t>
        </is>
      </c>
      <c r="H427" s="8" t="n">
        <v>27</v>
      </c>
      <c r="I427" s="9" t="n">
        <v>3145.61</v>
      </c>
      <c r="J427" s="6" t="inlineStr">
        <is>
          <t>Cancelled</t>
        </is>
      </c>
      <c r="K427" s="8" t="n">
        <v>2</v>
      </c>
      <c r="L427" s="8" t="n">
        <v>0</v>
      </c>
      <c r="M427" s="8">
        <f>C427-B427</f>
        <v/>
      </c>
      <c r="N427" s="9">
        <f>I427/H427</f>
        <v/>
      </c>
      <c r="O427" s="6">
        <f>IF(J427="Cancelled","N/A",IF(L427&lt;=K427,"On Time","Late"))</f>
        <v/>
      </c>
    </row>
    <row r="428">
      <c r="A428" s="2" t="inlineStr">
        <is>
          <t>SHP-1427</t>
        </is>
      </c>
      <c r="B428" s="2" t="inlineStr">
        <is>
          <t>2026-01-29</t>
        </is>
      </c>
      <c r="C428" s="2" t="inlineStr">
        <is>
          <t>2026-01-30</t>
        </is>
      </c>
      <c r="D428" s="3" t="inlineStr">
        <is>
          <t>Hub-North</t>
        </is>
      </c>
      <c r="E428" s="3" t="inlineStr">
        <is>
          <t>Bangalore</t>
        </is>
      </c>
      <c r="F428" s="3" t="inlineStr">
        <is>
          <t>ApexCargo</t>
        </is>
      </c>
      <c r="G428" s="3" t="inlineStr">
        <is>
          <t>Rail</t>
        </is>
      </c>
      <c r="H428" s="4" t="n">
        <v>1246</v>
      </c>
      <c r="I428" s="5" t="n">
        <v>25015.94</v>
      </c>
      <c r="J428" s="2" t="inlineStr">
        <is>
          <t>Delivered</t>
        </is>
      </c>
      <c r="K428" s="4" t="n">
        <v>8</v>
      </c>
      <c r="L428" s="4" t="n">
        <v>7</v>
      </c>
      <c r="M428" s="4">
        <f>C428-B428</f>
        <v/>
      </c>
      <c r="N428" s="5">
        <f>I428/H428</f>
        <v/>
      </c>
      <c r="O428" s="2">
        <f>IF(J428="Cancelled","N/A",IF(L428&lt;=K428,"On Time","Late"))</f>
        <v/>
      </c>
    </row>
    <row r="429">
      <c r="A429" s="6" t="inlineStr">
        <is>
          <t>SHP-1428</t>
        </is>
      </c>
      <c r="B429" s="6" t="inlineStr">
        <is>
          <t>2026-01-21</t>
        </is>
      </c>
      <c r="C429" s="6" t="inlineStr">
        <is>
          <t>2026-01-21</t>
        </is>
      </c>
      <c r="D429" s="7" t="inlineStr">
        <is>
          <t>Hub-West</t>
        </is>
      </c>
      <c r="E429" s="7" t="inlineStr">
        <is>
          <t>Ahmedabad</t>
        </is>
      </c>
      <c r="F429" s="7" t="inlineStr">
        <is>
          <t>MetroEx</t>
        </is>
      </c>
      <c r="G429" s="7" t="inlineStr">
        <is>
          <t>Air</t>
        </is>
      </c>
      <c r="H429" s="8" t="n">
        <v>44</v>
      </c>
      <c r="I429" s="9" t="n">
        <v>4786.55</v>
      </c>
      <c r="J429" s="6" t="inlineStr">
        <is>
          <t>Cancelled</t>
        </is>
      </c>
      <c r="K429" s="8" t="n">
        <v>2</v>
      </c>
      <c r="L429" s="8" t="n">
        <v>0</v>
      </c>
      <c r="M429" s="8">
        <f>C429-B429</f>
        <v/>
      </c>
      <c r="N429" s="9">
        <f>I429/H429</f>
        <v/>
      </c>
      <c r="O429" s="6">
        <f>IF(J429="Cancelled","N/A",IF(L429&lt;=K429,"On Time","Late"))</f>
        <v/>
      </c>
    </row>
    <row r="430">
      <c r="A430" s="2" t="inlineStr">
        <is>
          <t>SHP-1429</t>
        </is>
      </c>
      <c r="B430" s="2" t="inlineStr">
        <is>
          <t>2026-01-30</t>
        </is>
      </c>
      <c r="C430" s="2" t="inlineStr">
        <is>
          <t>2026-01-31</t>
        </is>
      </c>
      <c r="D430" s="3" t="inlineStr">
        <is>
          <t>Hub-North</t>
        </is>
      </c>
      <c r="E430" s="3" t="inlineStr">
        <is>
          <t>Kolkata</t>
        </is>
      </c>
      <c r="F430" s="3" t="inlineStr">
        <is>
          <t>MetroEx</t>
        </is>
      </c>
      <c r="G430" s="3" t="inlineStr">
        <is>
          <t>Rail</t>
        </is>
      </c>
      <c r="H430" s="4" t="n">
        <v>722</v>
      </c>
      <c r="I430" s="5" t="n">
        <v>9933.059999999999</v>
      </c>
      <c r="J430" s="2" t="inlineStr">
        <is>
          <t>Delivered</t>
        </is>
      </c>
      <c r="K430" s="4" t="n">
        <v>5</v>
      </c>
      <c r="L430" s="4" t="n">
        <v>5</v>
      </c>
      <c r="M430" s="4">
        <f>C430-B430</f>
        <v/>
      </c>
      <c r="N430" s="5">
        <f>I430/H430</f>
        <v/>
      </c>
      <c r="O430" s="2">
        <f>IF(J430="Cancelled","N/A",IF(L430&lt;=K430,"On Time","Late"))</f>
        <v/>
      </c>
    </row>
    <row r="431">
      <c r="A431" s="6" t="inlineStr">
        <is>
          <t>SHP-1430</t>
        </is>
      </c>
      <c r="B431" s="6" t="inlineStr">
        <is>
          <t>2026-02-04</t>
        </is>
      </c>
      <c r="C431" s="6" t="inlineStr">
        <is>
          <t>2026-02-04</t>
        </is>
      </c>
      <c r="D431" s="7" t="inlineStr">
        <is>
          <t>Hub-North</t>
        </is>
      </c>
      <c r="E431" s="7" t="inlineStr">
        <is>
          <t>Delhi</t>
        </is>
      </c>
      <c r="F431" s="7" t="inlineStr">
        <is>
          <t>ApexCargo</t>
        </is>
      </c>
      <c r="G431" s="7" t="inlineStr">
        <is>
          <t>Ground</t>
        </is>
      </c>
      <c r="H431" s="8" t="n">
        <v>159</v>
      </c>
      <c r="I431" s="9" t="n">
        <v>6676.69</v>
      </c>
      <c r="J431" s="6" t="inlineStr">
        <is>
          <t>Delivered</t>
        </is>
      </c>
      <c r="K431" s="8" t="n">
        <v>5</v>
      </c>
      <c r="L431" s="8" t="n">
        <v>6</v>
      </c>
      <c r="M431" s="8">
        <f>C431-B431</f>
        <v/>
      </c>
      <c r="N431" s="9">
        <f>I431/H431</f>
        <v/>
      </c>
      <c r="O431" s="6">
        <f>IF(J431="Cancelled","N/A",IF(L431&lt;=K431,"On Time","Late"))</f>
        <v/>
      </c>
    </row>
    <row r="432">
      <c r="A432" s="2" t="inlineStr">
        <is>
          <t>SHP-1431</t>
        </is>
      </c>
      <c r="B432" s="2" t="inlineStr">
        <is>
          <t>2026-02-07</t>
        </is>
      </c>
      <c r="C432" s="2" t="inlineStr">
        <is>
          <t>2026-02-08</t>
        </is>
      </c>
      <c r="D432" s="3" t="inlineStr">
        <is>
          <t>Hub-West</t>
        </is>
      </c>
      <c r="E432" s="3" t="inlineStr">
        <is>
          <t>Mumbai</t>
        </is>
      </c>
      <c r="F432" s="3" t="inlineStr">
        <is>
          <t>ApexCargo</t>
        </is>
      </c>
      <c r="G432" s="3" t="inlineStr">
        <is>
          <t>Air</t>
        </is>
      </c>
      <c r="H432" s="4" t="n">
        <v>149</v>
      </c>
      <c r="I432" s="5" t="n">
        <v>17327.14</v>
      </c>
      <c r="J432" s="2" t="inlineStr">
        <is>
          <t>Delivered</t>
        </is>
      </c>
      <c r="K432" s="4" t="n">
        <v>2</v>
      </c>
      <c r="L432" s="4" t="n">
        <v>2</v>
      </c>
      <c r="M432" s="4">
        <f>C432-B432</f>
        <v/>
      </c>
      <c r="N432" s="5">
        <f>I432/H432</f>
        <v/>
      </c>
      <c r="O432" s="2">
        <f>IF(J432="Cancelled","N/A",IF(L432&lt;=K432,"On Time","Late"))</f>
        <v/>
      </c>
    </row>
    <row r="433">
      <c r="A433" s="6" t="inlineStr">
        <is>
          <t>SHP-1432</t>
        </is>
      </c>
      <c r="B433" s="6" t="inlineStr">
        <is>
          <t>2026-01-26</t>
        </is>
      </c>
      <c r="C433" s="6" t="inlineStr">
        <is>
          <t>2026-01-26</t>
        </is>
      </c>
      <c r="D433" s="7" t="inlineStr">
        <is>
          <t>Hub-North</t>
        </is>
      </c>
      <c r="E433" s="7" t="inlineStr">
        <is>
          <t>Bangalore</t>
        </is>
      </c>
      <c r="F433" s="7" t="inlineStr">
        <is>
          <t>MetroEx</t>
        </is>
      </c>
      <c r="G433" s="7" t="inlineStr">
        <is>
          <t>Rail</t>
        </is>
      </c>
      <c r="H433" s="8" t="n">
        <v>1545</v>
      </c>
      <c r="I433" s="9" t="n">
        <v>19939.06</v>
      </c>
      <c r="J433" s="6" t="inlineStr">
        <is>
          <t>Delivered</t>
        </is>
      </c>
      <c r="K433" s="8" t="n">
        <v>7</v>
      </c>
      <c r="L433" s="8" t="n">
        <v>9</v>
      </c>
      <c r="M433" s="8">
        <f>C433-B433</f>
        <v/>
      </c>
      <c r="N433" s="9">
        <f>I433/H433</f>
        <v/>
      </c>
      <c r="O433" s="6">
        <f>IF(J433="Cancelled","N/A",IF(L433&lt;=K433,"On Time","Late"))</f>
        <v/>
      </c>
    </row>
    <row r="434">
      <c r="A434" s="2" t="inlineStr">
        <is>
          <t>SHP-1433</t>
        </is>
      </c>
      <c r="B434" s="2" t="inlineStr">
        <is>
          <t>2026-01-16</t>
        </is>
      </c>
      <c r="C434" s="2" t="inlineStr">
        <is>
          <t>2026-01-18</t>
        </is>
      </c>
      <c r="D434" s="3" t="inlineStr">
        <is>
          <t>Hub-West</t>
        </is>
      </c>
      <c r="E434" s="3" t="inlineStr">
        <is>
          <t>Bangalore</t>
        </is>
      </c>
      <c r="F434" s="3" t="inlineStr">
        <is>
          <t>MetroEx</t>
        </is>
      </c>
      <c r="G434" s="3" t="inlineStr">
        <is>
          <t>Ground</t>
        </is>
      </c>
      <c r="H434" s="4" t="n">
        <v>241</v>
      </c>
      <c r="I434" s="5" t="n">
        <v>8754.84</v>
      </c>
      <c r="J434" s="2" t="inlineStr">
        <is>
          <t>Delivered</t>
        </is>
      </c>
      <c r="K434" s="4" t="n">
        <v>5</v>
      </c>
      <c r="L434" s="4" t="n">
        <v>7</v>
      </c>
      <c r="M434" s="4">
        <f>C434-B434</f>
        <v/>
      </c>
      <c r="N434" s="5">
        <f>I434/H434</f>
        <v/>
      </c>
      <c r="O434" s="2">
        <f>IF(J434="Cancelled","N/A",IF(L434&lt;=K434,"On Time","Late"))</f>
        <v/>
      </c>
    </row>
    <row r="435">
      <c r="A435" s="6" t="inlineStr">
        <is>
          <t>SHP-1434</t>
        </is>
      </c>
      <c r="B435" s="6" t="inlineStr">
        <is>
          <t>2026-01-31</t>
        </is>
      </c>
      <c r="C435" s="6" t="inlineStr">
        <is>
          <t>2026-02-01</t>
        </is>
      </c>
      <c r="D435" s="7" t="inlineStr">
        <is>
          <t>Hub-East</t>
        </is>
      </c>
      <c r="E435" s="7" t="inlineStr">
        <is>
          <t>Chennai</t>
        </is>
      </c>
      <c r="F435" s="7" t="inlineStr">
        <is>
          <t>MetroEx</t>
        </is>
      </c>
      <c r="G435" s="7" t="inlineStr">
        <is>
          <t>Ground</t>
        </is>
      </c>
      <c r="H435" s="8" t="n">
        <v>182</v>
      </c>
      <c r="I435" s="9" t="n">
        <v>5512.26</v>
      </c>
      <c r="J435" s="6" t="inlineStr">
        <is>
          <t>Delivered</t>
        </is>
      </c>
      <c r="K435" s="8" t="n">
        <v>3</v>
      </c>
      <c r="L435" s="8" t="n">
        <v>5</v>
      </c>
      <c r="M435" s="8">
        <f>C435-B435</f>
        <v/>
      </c>
      <c r="N435" s="9">
        <f>I435/H435</f>
        <v/>
      </c>
      <c r="O435" s="6">
        <f>IF(J435="Cancelled","N/A",IF(L435&lt;=K435,"On Time","Late"))</f>
        <v/>
      </c>
    </row>
    <row r="436">
      <c r="A436" s="2" t="inlineStr">
        <is>
          <t>SHP-1435</t>
        </is>
      </c>
      <c r="B436" s="2" t="inlineStr">
        <is>
          <t>2026-01-14</t>
        </is>
      </c>
      <c r="C436" s="2" t="inlineStr">
        <is>
          <t>2026-01-16</t>
        </is>
      </c>
      <c r="D436" s="3" t="inlineStr">
        <is>
          <t>Hub-North</t>
        </is>
      </c>
      <c r="E436" s="3" t="inlineStr">
        <is>
          <t>Ahmedabad</t>
        </is>
      </c>
      <c r="F436" s="3" t="inlineStr">
        <is>
          <t>MetroEx</t>
        </is>
      </c>
      <c r="G436" s="3" t="inlineStr">
        <is>
          <t>Air</t>
        </is>
      </c>
      <c r="H436" s="4" t="n">
        <v>21</v>
      </c>
      <c r="I436" s="5" t="n">
        <v>1814.33</v>
      </c>
      <c r="J436" s="2" t="inlineStr">
        <is>
          <t>Delivered</t>
        </is>
      </c>
      <c r="K436" s="4" t="n">
        <v>2</v>
      </c>
      <c r="L436" s="4" t="n">
        <v>4</v>
      </c>
      <c r="M436" s="4">
        <f>C436-B436</f>
        <v/>
      </c>
      <c r="N436" s="5">
        <f>I436/H436</f>
        <v/>
      </c>
      <c r="O436" s="2">
        <f>IF(J436="Cancelled","N/A",IF(L436&lt;=K436,"On Time","Late"))</f>
        <v/>
      </c>
    </row>
    <row r="437">
      <c r="A437" s="6" t="inlineStr">
        <is>
          <t>SHP-1436</t>
        </is>
      </c>
      <c r="B437" s="6" t="inlineStr">
        <is>
          <t>2026-02-03</t>
        </is>
      </c>
      <c r="C437" s="6" t="inlineStr">
        <is>
          <t>2026-02-04</t>
        </is>
      </c>
      <c r="D437" s="7" t="inlineStr">
        <is>
          <t>Hub-North</t>
        </is>
      </c>
      <c r="E437" s="7" t="inlineStr">
        <is>
          <t>Bangalore</t>
        </is>
      </c>
      <c r="F437" s="7" t="inlineStr">
        <is>
          <t>MetroEx</t>
        </is>
      </c>
      <c r="G437" s="7" t="inlineStr">
        <is>
          <t>Rail</t>
        </is>
      </c>
      <c r="H437" s="8" t="n">
        <v>1275</v>
      </c>
      <c r="I437" s="9" t="n">
        <v>19957.53</v>
      </c>
      <c r="J437" s="6" t="inlineStr">
        <is>
          <t>Delivered</t>
        </is>
      </c>
      <c r="K437" s="8" t="n">
        <v>5</v>
      </c>
      <c r="L437" s="8" t="n">
        <v>5</v>
      </c>
      <c r="M437" s="8">
        <f>C437-B437</f>
        <v/>
      </c>
      <c r="N437" s="9">
        <f>I437/H437</f>
        <v/>
      </c>
      <c r="O437" s="6">
        <f>IF(J437="Cancelled","N/A",IF(L437&lt;=K437,"On Time","Late"))</f>
        <v/>
      </c>
    </row>
    <row r="438">
      <c r="A438" s="2" t="inlineStr">
        <is>
          <t>SHP-1437</t>
        </is>
      </c>
      <c r="B438" s="2" t="inlineStr">
        <is>
          <t>2026-01-15</t>
        </is>
      </c>
      <c r="C438" s="2" t="inlineStr">
        <is>
          <t>2026-01-17</t>
        </is>
      </c>
      <c r="D438" s="3" t="inlineStr">
        <is>
          <t>Hub-South</t>
        </is>
      </c>
      <c r="E438" s="3" t="inlineStr">
        <is>
          <t>Hyderabad</t>
        </is>
      </c>
      <c r="F438" s="3" t="inlineStr">
        <is>
          <t>MetroEx</t>
        </is>
      </c>
      <c r="G438" s="3" t="inlineStr">
        <is>
          <t>Air</t>
        </is>
      </c>
      <c r="H438" s="4" t="n">
        <v>133</v>
      </c>
      <c r="I438" s="5" t="n">
        <v>15434.79</v>
      </c>
      <c r="J438" s="2" t="inlineStr">
        <is>
          <t>Delivered</t>
        </is>
      </c>
      <c r="K438" s="4" t="n">
        <v>1</v>
      </c>
      <c r="L438" s="4" t="n">
        <v>1</v>
      </c>
      <c r="M438" s="4">
        <f>C438-B438</f>
        <v/>
      </c>
      <c r="N438" s="5">
        <f>I438/H438</f>
        <v/>
      </c>
      <c r="O438" s="2">
        <f>IF(J438="Cancelled","N/A",IF(L438&lt;=K438,"On Time","Late"))</f>
        <v/>
      </c>
    </row>
    <row r="439">
      <c r="A439" s="6" t="inlineStr">
        <is>
          <t>SHP-1438</t>
        </is>
      </c>
      <c r="B439" s="6" t="inlineStr">
        <is>
          <t>2026-01-11</t>
        </is>
      </c>
      <c r="C439" s="6" t="inlineStr">
        <is>
          <t>2026-01-11</t>
        </is>
      </c>
      <c r="D439" s="7" t="inlineStr">
        <is>
          <t>Hub-East</t>
        </is>
      </c>
      <c r="E439" s="7" t="inlineStr">
        <is>
          <t>Kolkata</t>
        </is>
      </c>
      <c r="F439" s="7" t="inlineStr">
        <is>
          <t>SwiftLog</t>
        </is>
      </c>
      <c r="G439" s="7" t="inlineStr">
        <is>
          <t>Ground</t>
        </is>
      </c>
      <c r="H439" s="8" t="n">
        <v>245</v>
      </c>
      <c r="I439" s="9" t="n">
        <v>6896.05</v>
      </c>
      <c r="J439" s="6" t="inlineStr">
        <is>
          <t>Delivered</t>
        </is>
      </c>
      <c r="K439" s="8" t="n">
        <v>5</v>
      </c>
      <c r="L439" s="8" t="n">
        <v>7</v>
      </c>
      <c r="M439" s="8">
        <f>C439-B439</f>
        <v/>
      </c>
      <c r="N439" s="9">
        <f>I439/H439</f>
        <v/>
      </c>
      <c r="O439" s="6">
        <f>IF(J439="Cancelled","N/A",IF(L439&lt;=K439,"On Time","Late"))</f>
        <v/>
      </c>
    </row>
    <row r="440">
      <c r="A440" s="2" t="inlineStr">
        <is>
          <t>SHP-1439</t>
        </is>
      </c>
      <c r="B440" s="2" t="inlineStr">
        <is>
          <t>2026-01-15</t>
        </is>
      </c>
      <c r="C440" s="2" t="inlineStr">
        <is>
          <t>2026-01-16</t>
        </is>
      </c>
      <c r="D440" s="3" t="inlineStr">
        <is>
          <t>Hub-North</t>
        </is>
      </c>
      <c r="E440" s="3" t="inlineStr">
        <is>
          <t>Delhi</t>
        </is>
      </c>
      <c r="F440" s="3" t="inlineStr">
        <is>
          <t>MetroEx</t>
        </is>
      </c>
      <c r="G440" s="3" t="inlineStr">
        <is>
          <t>Rail</t>
        </is>
      </c>
      <c r="H440" s="4" t="n">
        <v>1480</v>
      </c>
      <c r="I440" s="5" t="n">
        <v>24849.51</v>
      </c>
      <c r="J440" s="2" t="inlineStr">
        <is>
          <t>In Transit</t>
        </is>
      </c>
      <c r="K440" s="4" t="n">
        <v>6</v>
      </c>
      <c r="L440" s="4" t="n">
        <v>6</v>
      </c>
      <c r="M440" s="4">
        <f>C440-B440</f>
        <v/>
      </c>
      <c r="N440" s="5">
        <f>I440/H440</f>
        <v/>
      </c>
      <c r="O440" s="2">
        <f>IF(J440="Cancelled","N/A",IF(L440&lt;=K440,"On Time","Late"))</f>
        <v/>
      </c>
    </row>
    <row r="441">
      <c r="A441" s="6" t="inlineStr">
        <is>
          <t>SHP-1440</t>
        </is>
      </c>
      <c r="B441" s="6" t="inlineStr">
        <is>
          <t>2026-01-02</t>
        </is>
      </c>
      <c r="C441" s="6" t="inlineStr">
        <is>
          <t>2026-01-02</t>
        </is>
      </c>
      <c r="D441" s="7" t="inlineStr">
        <is>
          <t>Hub-East</t>
        </is>
      </c>
      <c r="E441" s="7" t="inlineStr">
        <is>
          <t>Bangalore</t>
        </is>
      </c>
      <c r="F441" s="7" t="inlineStr">
        <is>
          <t>ApexCargo</t>
        </is>
      </c>
      <c r="G441" s="7" t="inlineStr">
        <is>
          <t>Rail</t>
        </is>
      </c>
      <c r="H441" s="8" t="n">
        <v>829</v>
      </c>
      <c r="I441" s="9" t="n">
        <v>11064.86</v>
      </c>
      <c r="J441" s="6" t="inlineStr">
        <is>
          <t>Delivered</t>
        </is>
      </c>
      <c r="K441" s="8" t="n">
        <v>5</v>
      </c>
      <c r="L441" s="8" t="n">
        <v>4</v>
      </c>
      <c r="M441" s="8">
        <f>C441-B441</f>
        <v/>
      </c>
      <c r="N441" s="9">
        <f>I441/H441</f>
        <v/>
      </c>
      <c r="O441" s="6">
        <f>IF(J441="Cancelled","N/A",IF(L441&lt;=K441,"On Time","Late"))</f>
        <v/>
      </c>
    </row>
    <row r="442">
      <c r="A442" s="2" t="inlineStr">
        <is>
          <t>SHP-1441</t>
        </is>
      </c>
      <c r="B442" s="2" t="inlineStr">
        <is>
          <t>2026-01-11</t>
        </is>
      </c>
      <c r="C442" s="2" t="inlineStr">
        <is>
          <t>2026-01-12</t>
        </is>
      </c>
      <c r="D442" s="3" t="inlineStr">
        <is>
          <t>Hub-West</t>
        </is>
      </c>
      <c r="E442" s="3" t="inlineStr">
        <is>
          <t>Ahmedabad</t>
        </is>
      </c>
      <c r="F442" s="3" t="inlineStr">
        <is>
          <t>ApexCargo</t>
        </is>
      </c>
      <c r="G442" s="3" t="inlineStr">
        <is>
          <t>Rail</t>
        </is>
      </c>
      <c r="H442" s="4" t="n">
        <v>1805</v>
      </c>
      <c r="I442" s="5" t="n">
        <v>21996.09</v>
      </c>
      <c r="J442" s="2" t="inlineStr">
        <is>
          <t>Delivered</t>
        </is>
      </c>
      <c r="K442" s="4" t="n">
        <v>7</v>
      </c>
      <c r="L442" s="4" t="n">
        <v>7</v>
      </c>
      <c r="M442" s="4">
        <f>C442-B442</f>
        <v/>
      </c>
      <c r="N442" s="5">
        <f>I442/H442</f>
        <v/>
      </c>
      <c r="O442" s="2">
        <f>IF(J442="Cancelled","N/A",IF(L442&lt;=K442,"On Time","Late"))</f>
        <v/>
      </c>
    </row>
    <row r="443">
      <c r="A443" s="6" t="inlineStr">
        <is>
          <t>SHP-1442</t>
        </is>
      </c>
      <c r="B443" s="6" t="inlineStr">
        <is>
          <t>2026-01-29</t>
        </is>
      </c>
      <c r="C443" s="6" t="inlineStr">
        <is>
          <t>2026-01-31</t>
        </is>
      </c>
      <c r="D443" s="7" t="inlineStr">
        <is>
          <t>Hub-South</t>
        </is>
      </c>
      <c r="E443" s="7" t="inlineStr">
        <is>
          <t>Pune</t>
        </is>
      </c>
      <c r="F443" s="7" t="inlineStr">
        <is>
          <t>SwiftLog</t>
        </is>
      </c>
      <c r="G443" s="7" t="inlineStr">
        <is>
          <t>Ground</t>
        </is>
      </c>
      <c r="H443" s="8" t="n">
        <v>575</v>
      </c>
      <c r="I443" s="9" t="n">
        <v>19098.82</v>
      </c>
      <c r="J443" s="6" t="inlineStr">
        <is>
          <t>Delivered</t>
        </is>
      </c>
      <c r="K443" s="8" t="n">
        <v>3</v>
      </c>
      <c r="L443" s="8" t="n">
        <v>4</v>
      </c>
      <c r="M443" s="8">
        <f>C443-B443</f>
        <v/>
      </c>
      <c r="N443" s="9">
        <f>I443/H443</f>
        <v/>
      </c>
      <c r="O443" s="6">
        <f>IF(J443="Cancelled","N/A",IF(L443&lt;=K443,"On Time","Late"))</f>
        <v/>
      </c>
    </row>
    <row r="444">
      <c r="A444" s="2" t="inlineStr">
        <is>
          <t>SHP-1443</t>
        </is>
      </c>
      <c r="B444" s="2" t="inlineStr">
        <is>
          <t>2026-02-12</t>
        </is>
      </c>
      <c r="C444" s="2" t="inlineStr">
        <is>
          <t>2026-02-14</t>
        </is>
      </c>
      <c r="D444" s="3" t="inlineStr">
        <is>
          <t>Hub-North</t>
        </is>
      </c>
      <c r="E444" s="3" t="inlineStr">
        <is>
          <t>Bangalore</t>
        </is>
      </c>
      <c r="F444" s="3" t="inlineStr">
        <is>
          <t>ApexCargo</t>
        </is>
      </c>
      <c r="G444" s="3" t="inlineStr">
        <is>
          <t>Rail</t>
        </is>
      </c>
      <c r="H444" s="4" t="n">
        <v>1201</v>
      </c>
      <c r="I444" s="5" t="n">
        <v>25489.45</v>
      </c>
      <c r="J444" s="2" t="inlineStr">
        <is>
          <t>Delivered</t>
        </is>
      </c>
      <c r="K444" s="4" t="n">
        <v>5</v>
      </c>
      <c r="L444" s="4" t="n">
        <v>5</v>
      </c>
      <c r="M444" s="4">
        <f>C444-B444</f>
        <v/>
      </c>
      <c r="N444" s="5">
        <f>I444/H444</f>
        <v/>
      </c>
      <c r="O444" s="2">
        <f>IF(J444="Cancelled","N/A",IF(L444&lt;=K444,"On Time","Late"))</f>
        <v/>
      </c>
    </row>
    <row r="445">
      <c r="A445" s="6" t="inlineStr">
        <is>
          <t>SHP-1444</t>
        </is>
      </c>
      <c r="B445" s="6" t="inlineStr">
        <is>
          <t>2026-01-25</t>
        </is>
      </c>
      <c r="C445" s="6" t="inlineStr">
        <is>
          <t>2026-01-25</t>
        </is>
      </c>
      <c r="D445" s="7" t="inlineStr">
        <is>
          <t>Hub-East</t>
        </is>
      </c>
      <c r="E445" s="7" t="inlineStr">
        <is>
          <t>Mumbai</t>
        </is>
      </c>
      <c r="F445" s="7" t="inlineStr">
        <is>
          <t>SwiftLog</t>
        </is>
      </c>
      <c r="G445" s="7" t="inlineStr">
        <is>
          <t>Rail</t>
        </is>
      </c>
      <c r="H445" s="8" t="n">
        <v>1532</v>
      </c>
      <c r="I445" s="9" t="n">
        <v>28868.52</v>
      </c>
      <c r="J445" s="6" t="inlineStr">
        <is>
          <t>Delivered</t>
        </is>
      </c>
      <c r="K445" s="8" t="n">
        <v>6</v>
      </c>
      <c r="L445" s="8" t="n">
        <v>6</v>
      </c>
      <c r="M445" s="8">
        <f>C445-B445</f>
        <v/>
      </c>
      <c r="N445" s="9">
        <f>I445/H445</f>
        <v/>
      </c>
      <c r="O445" s="6">
        <f>IF(J445="Cancelled","N/A",IF(L445&lt;=K445,"On Time","Late"))</f>
        <v/>
      </c>
    </row>
    <row r="446">
      <c r="A446" s="2" t="inlineStr">
        <is>
          <t>SHP-1445</t>
        </is>
      </c>
      <c r="B446" s="2" t="inlineStr">
        <is>
          <t>2026-01-31</t>
        </is>
      </c>
      <c r="C446" s="2" t="inlineStr">
        <is>
          <t>2026-02-02</t>
        </is>
      </c>
      <c r="D446" s="3" t="inlineStr">
        <is>
          <t>Hub-East</t>
        </is>
      </c>
      <c r="E446" s="3" t="inlineStr">
        <is>
          <t>Delhi</t>
        </is>
      </c>
      <c r="F446" s="3" t="inlineStr">
        <is>
          <t>SwiftLog</t>
        </is>
      </c>
      <c r="G446" s="3" t="inlineStr">
        <is>
          <t>Air</t>
        </is>
      </c>
      <c r="H446" s="4" t="n">
        <v>43</v>
      </c>
      <c r="I446" s="5" t="n">
        <v>5012.49</v>
      </c>
      <c r="J446" s="2" t="inlineStr">
        <is>
          <t>In Transit</t>
        </is>
      </c>
      <c r="K446" s="4" t="n">
        <v>1</v>
      </c>
      <c r="L446" s="4" t="n">
        <v>1</v>
      </c>
      <c r="M446" s="4">
        <f>C446-B446</f>
        <v/>
      </c>
      <c r="N446" s="5">
        <f>I446/H446</f>
        <v/>
      </c>
      <c r="O446" s="2">
        <f>IF(J446="Cancelled","N/A",IF(L446&lt;=K446,"On Time","Late"))</f>
        <v/>
      </c>
    </row>
    <row r="447">
      <c r="A447" s="6" t="inlineStr">
        <is>
          <t>SHP-1446</t>
        </is>
      </c>
      <c r="B447" s="6" t="inlineStr">
        <is>
          <t>2026-02-03</t>
        </is>
      </c>
      <c r="C447" s="6" t="inlineStr">
        <is>
          <t>2026-02-04</t>
        </is>
      </c>
      <c r="D447" s="7" t="inlineStr">
        <is>
          <t>Hub-North</t>
        </is>
      </c>
      <c r="E447" s="7" t="inlineStr">
        <is>
          <t>Mumbai</t>
        </is>
      </c>
      <c r="F447" s="7" t="inlineStr">
        <is>
          <t>ApexCargo</t>
        </is>
      </c>
      <c r="G447" s="7" t="inlineStr">
        <is>
          <t>Rail</t>
        </is>
      </c>
      <c r="H447" s="8" t="n">
        <v>1378</v>
      </c>
      <c r="I447" s="9" t="n">
        <v>19698.32</v>
      </c>
      <c r="J447" s="6" t="inlineStr">
        <is>
          <t>In Transit</t>
        </is>
      </c>
      <c r="K447" s="8" t="n">
        <v>8</v>
      </c>
      <c r="L447" s="8" t="n">
        <v>8</v>
      </c>
      <c r="M447" s="8">
        <f>C447-B447</f>
        <v/>
      </c>
      <c r="N447" s="9">
        <f>I447/H447</f>
        <v/>
      </c>
      <c r="O447" s="6">
        <f>IF(J447="Cancelled","N/A",IF(L447&lt;=K447,"On Time","Late"))</f>
        <v/>
      </c>
    </row>
    <row r="448">
      <c r="A448" s="2" t="inlineStr">
        <is>
          <t>SHP-1447</t>
        </is>
      </c>
      <c r="B448" s="2" t="inlineStr">
        <is>
          <t>2026-01-23</t>
        </is>
      </c>
      <c r="C448" s="2" t="inlineStr">
        <is>
          <t>2026-01-25</t>
        </is>
      </c>
      <c r="D448" s="3" t="inlineStr">
        <is>
          <t>Hub-East</t>
        </is>
      </c>
      <c r="E448" s="3" t="inlineStr">
        <is>
          <t>Ahmedabad</t>
        </is>
      </c>
      <c r="F448" s="3" t="inlineStr">
        <is>
          <t>SwiftLog</t>
        </is>
      </c>
      <c r="G448" s="3" t="inlineStr">
        <is>
          <t>Air</t>
        </is>
      </c>
      <c r="H448" s="4" t="n">
        <v>132</v>
      </c>
      <c r="I448" s="5" t="n">
        <v>14758.27</v>
      </c>
      <c r="J448" s="2" t="inlineStr">
        <is>
          <t>Delivered</t>
        </is>
      </c>
      <c r="K448" s="4" t="n">
        <v>1</v>
      </c>
      <c r="L448" s="4" t="n">
        <v>2</v>
      </c>
      <c r="M448" s="4">
        <f>C448-B448</f>
        <v/>
      </c>
      <c r="N448" s="5">
        <f>I448/H448</f>
        <v/>
      </c>
      <c r="O448" s="2">
        <f>IF(J448="Cancelled","N/A",IF(L448&lt;=K448,"On Time","Late"))</f>
        <v/>
      </c>
    </row>
    <row r="449">
      <c r="A449" s="6" t="inlineStr">
        <is>
          <t>SHP-1448</t>
        </is>
      </c>
      <c r="B449" s="6" t="inlineStr">
        <is>
          <t>2026-02-04</t>
        </is>
      </c>
      <c r="C449" s="6" t="inlineStr">
        <is>
          <t>2026-02-05</t>
        </is>
      </c>
      <c r="D449" s="7" t="inlineStr">
        <is>
          <t>Hub-North</t>
        </is>
      </c>
      <c r="E449" s="7" t="inlineStr">
        <is>
          <t>Chennai</t>
        </is>
      </c>
      <c r="F449" s="7" t="inlineStr">
        <is>
          <t>SwiftLog</t>
        </is>
      </c>
      <c r="G449" s="7" t="inlineStr">
        <is>
          <t>Rail</t>
        </is>
      </c>
      <c r="H449" s="8" t="n">
        <v>514</v>
      </c>
      <c r="I449" s="9" t="n">
        <v>9138.85</v>
      </c>
      <c r="J449" s="6" t="inlineStr">
        <is>
          <t>Delivered</t>
        </is>
      </c>
      <c r="K449" s="8" t="n">
        <v>5</v>
      </c>
      <c r="L449" s="8" t="n">
        <v>5</v>
      </c>
      <c r="M449" s="8">
        <f>C449-B449</f>
        <v/>
      </c>
      <c r="N449" s="9">
        <f>I449/H449</f>
        <v/>
      </c>
      <c r="O449" s="6">
        <f>IF(J449="Cancelled","N/A",IF(L449&lt;=K449,"On Time","Late"))</f>
        <v/>
      </c>
    </row>
    <row r="450">
      <c r="A450" s="2" t="inlineStr">
        <is>
          <t>SHP-1449</t>
        </is>
      </c>
      <c r="B450" s="2" t="inlineStr">
        <is>
          <t>2026-02-11</t>
        </is>
      </c>
      <c r="C450" s="2" t="inlineStr">
        <is>
          <t>2026-02-11</t>
        </is>
      </c>
      <c r="D450" s="3" t="inlineStr">
        <is>
          <t>Hub-North</t>
        </is>
      </c>
      <c r="E450" s="3" t="inlineStr">
        <is>
          <t>Ahmedabad</t>
        </is>
      </c>
      <c r="F450" s="3" t="inlineStr">
        <is>
          <t>MetroEx</t>
        </is>
      </c>
      <c r="G450" s="3" t="inlineStr">
        <is>
          <t>Ground</t>
        </is>
      </c>
      <c r="H450" s="4" t="n">
        <v>229</v>
      </c>
      <c r="I450" s="5" t="n">
        <v>7676.41</v>
      </c>
      <c r="J450" s="2" t="inlineStr">
        <is>
          <t>Delivered</t>
        </is>
      </c>
      <c r="K450" s="4" t="n">
        <v>5</v>
      </c>
      <c r="L450" s="4" t="n">
        <v>5</v>
      </c>
      <c r="M450" s="4">
        <f>C450-B450</f>
        <v/>
      </c>
      <c r="N450" s="5">
        <f>I450/H450</f>
        <v/>
      </c>
      <c r="O450" s="2">
        <f>IF(J450="Cancelled","N/A",IF(L450&lt;=K450,"On Time","Late"))</f>
        <v/>
      </c>
    </row>
    <row r="451">
      <c r="A451" s="6" t="inlineStr">
        <is>
          <t>SHP-1450</t>
        </is>
      </c>
      <c r="B451" s="6" t="inlineStr">
        <is>
          <t>2026-02-04</t>
        </is>
      </c>
      <c r="C451" s="6" t="inlineStr">
        <is>
          <t>2026-02-05</t>
        </is>
      </c>
      <c r="D451" s="7" t="inlineStr">
        <is>
          <t>Hub-North</t>
        </is>
      </c>
      <c r="E451" s="7" t="inlineStr">
        <is>
          <t>Kolkata</t>
        </is>
      </c>
      <c r="F451" s="7" t="inlineStr">
        <is>
          <t>ApexCargo</t>
        </is>
      </c>
      <c r="G451" s="7" t="inlineStr">
        <is>
          <t>Air</t>
        </is>
      </c>
      <c r="H451" s="8" t="n">
        <v>62</v>
      </c>
      <c r="I451" s="9" t="n">
        <v>6166.71</v>
      </c>
      <c r="J451" s="6" t="inlineStr">
        <is>
          <t>Delivered</t>
        </is>
      </c>
      <c r="K451" s="8" t="n">
        <v>2</v>
      </c>
      <c r="L451" s="8" t="n">
        <v>2</v>
      </c>
      <c r="M451" s="8">
        <f>C451-B451</f>
        <v/>
      </c>
      <c r="N451" s="9">
        <f>I451/H451</f>
        <v/>
      </c>
      <c r="O451" s="6">
        <f>IF(J451="Cancelled","N/A",IF(L451&lt;=K451,"On Time","Late"))</f>
        <v/>
      </c>
    </row>
    <row r="452">
      <c r="A452" s="2" t="inlineStr">
        <is>
          <t>SHP-1451</t>
        </is>
      </c>
      <c r="B452" s="2" t="inlineStr">
        <is>
          <t>2026-02-05</t>
        </is>
      </c>
      <c r="C452" s="2" t="inlineStr">
        <is>
          <t>2026-02-07</t>
        </is>
      </c>
      <c r="D452" s="3" t="inlineStr">
        <is>
          <t>Hub-South</t>
        </is>
      </c>
      <c r="E452" s="3" t="inlineStr">
        <is>
          <t>Kolkata</t>
        </is>
      </c>
      <c r="F452" s="3" t="inlineStr">
        <is>
          <t>MetroEx</t>
        </is>
      </c>
      <c r="G452" s="3" t="inlineStr">
        <is>
          <t>Rail</t>
        </is>
      </c>
      <c r="H452" s="4" t="n">
        <v>1205</v>
      </c>
      <c r="I452" s="5" t="n">
        <v>23789.04</v>
      </c>
      <c r="J452" s="2" t="inlineStr">
        <is>
          <t>Delivered</t>
        </is>
      </c>
      <c r="K452" s="4" t="n">
        <v>8</v>
      </c>
      <c r="L452" s="4" t="n">
        <v>10</v>
      </c>
      <c r="M452" s="4">
        <f>C452-B452</f>
        <v/>
      </c>
      <c r="N452" s="5">
        <f>I452/H452</f>
        <v/>
      </c>
      <c r="O452" s="2">
        <f>IF(J452="Cancelled","N/A",IF(L452&lt;=K452,"On Time","Late"))</f>
        <v/>
      </c>
    </row>
    <row r="453">
      <c r="A453" s="6" t="inlineStr">
        <is>
          <t>SHP-1452</t>
        </is>
      </c>
      <c r="B453" s="6" t="inlineStr">
        <is>
          <t>2026-01-08</t>
        </is>
      </c>
      <c r="C453" s="6" t="inlineStr">
        <is>
          <t>2026-01-08</t>
        </is>
      </c>
      <c r="D453" s="7" t="inlineStr">
        <is>
          <t>Hub-South</t>
        </is>
      </c>
      <c r="E453" s="7" t="inlineStr">
        <is>
          <t>Bangalore</t>
        </is>
      </c>
      <c r="F453" s="7" t="inlineStr">
        <is>
          <t>SwiftLog</t>
        </is>
      </c>
      <c r="G453" s="7" t="inlineStr">
        <is>
          <t>Ground</t>
        </is>
      </c>
      <c r="H453" s="8" t="n">
        <v>410</v>
      </c>
      <c r="I453" s="9" t="n">
        <v>13534.6</v>
      </c>
      <c r="J453" s="6" t="inlineStr">
        <is>
          <t>Delivered</t>
        </is>
      </c>
      <c r="K453" s="8" t="n">
        <v>4</v>
      </c>
      <c r="L453" s="8" t="n">
        <v>4</v>
      </c>
      <c r="M453" s="8">
        <f>C453-B453</f>
        <v/>
      </c>
      <c r="N453" s="9">
        <f>I453/H453</f>
        <v/>
      </c>
      <c r="O453" s="6">
        <f>IF(J453="Cancelled","N/A",IF(L453&lt;=K453,"On Time","Late"))</f>
        <v/>
      </c>
    </row>
    <row r="454">
      <c r="A454" s="2" t="inlineStr">
        <is>
          <t>SHP-1453</t>
        </is>
      </c>
      <c r="B454" s="2" t="inlineStr">
        <is>
          <t>2026-01-25</t>
        </is>
      </c>
      <c r="C454" s="2" t="inlineStr">
        <is>
          <t>2026-01-25</t>
        </is>
      </c>
      <c r="D454" s="3" t="inlineStr">
        <is>
          <t>Hub-East</t>
        </is>
      </c>
      <c r="E454" s="3" t="inlineStr">
        <is>
          <t>Bangalore</t>
        </is>
      </c>
      <c r="F454" s="3" t="inlineStr">
        <is>
          <t>MetroEx</t>
        </is>
      </c>
      <c r="G454" s="3" t="inlineStr">
        <is>
          <t>Rail</t>
        </is>
      </c>
      <c r="H454" s="4" t="n">
        <v>1391</v>
      </c>
      <c r="I454" s="5" t="n">
        <v>17918.04</v>
      </c>
      <c r="J454" s="2" t="inlineStr">
        <is>
          <t>Delivered</t>
        </is>
      </c>
      <c r="K454" s="4" t="n">
        <v>7</v>
      </c>
      <c r="L454" s="4" t="n">
        <v>7</v>
      </c>
      <c r="M454" s="4">
        <f>C454-B454</f>
        <v/>
      </c>
      <c r="N454" s="5">
        <f>I454/H454</f>
        <v/>
      </c>
      <c r="O454" s="2">
        <f>IF(J454="Cancelled","N/A",IF(L454&lt;=K454,"On Time","Late"))</f>
        <v/>
      </c>
    </row>
    <row r="455">
      <c r="A455" s="6" t="inlineStr">
        <is>
          <t>SHP-1454</t>
        </is>
      </c>
      <c r="B455" s="6" t="inlineStr">
        <is>
          <t>2026-01-06</t>
        </is>
      </c>
      <c r="C455" s="6" t="inlineStr">
        <is>
          <t>2026-01-08</t>
        </is>
      </c>
      <c r="D455" s="7" t="inlineStr">
        <is>
          <t>Hub-East</t>
        </is>
      </c>
      <c r="E455" s="7" t="inlineStr">
        <is>
          <t>Ahmedabad</t>
        </is>
      </c>
      <c r="F455" s="7" t="inlineStr">
        <is>
          <t>MetroEx</t>
        </is>
      </c>
      <c r="G455" s="7" t="inlineStr">
        <is>
          <t>Rail</t>
        </is>
      </c>
      <c r="H455" s="8" t="n">
        <v>1843</v>
      </c>
      <c r="I455" s="9" t="n">
        <v>31718.13</v>
      </c>
      <c r="J455" s="6" t="inlineStr">
        <is>
          <t>Delivered</t>
        </is>
      </c>
      <c r="K455" s="8" t="n">
        <v>5</v>
      </c>
      <c r="L455" s="8" t="n">
        <v>7</v>
      </c>
      <c r="M455" s="8">
        <f>C455-B455</f>
        <v/>
      </c>
      <c r="N455" s="9">
        <f>I455/H455</f>
        <v/>
      </c>
      <c r="O455" s="6">
        <f>IF(J455="Cancelled","N/A",IF(L455&lt;=K455,"On Time","Late"))</f>
        <v/>
      </c>
    </row>
    <row r="456">
      <c r="A456" s="2" t="inlineStr">
        <is>
          <t>SHP-1455</t>
        </is>
      </c>
      <c r="B456" s="2" t="inlineStr">
        <is>
          <t>2026-02-01</t>
        </is>
      </c>
      <c r="C456" s="2" t="inlineStr">
        <is>
          <t>2026-02-02</t>
        </is>
      </c>
      <c r="D456" s="3" t="inlineStr">
        <is>
          <t>Hub-East</t>
        </is>
      </c>
      <c r="E456" s="3" t="inlineStr">
        <is>
          <t>Chennai</t>
        </is>
      </c>
      <c r="F456" s="3" t="inlineStr">
        <is>
          <t>ApexCargo</t>
        </is>
      </c>
      <c r="G456" s="3" t="inlineStr">
        <is>
          <t>Rail</t>
        </is>
      </c>
      <c r="H456" s="4" t="n">
        <v>1085</v>
      </c>
      <c r="I456" s="5" t="n">
        <v>15133</v>
      </c>
      <c r="J456" s="2" t="inlineStr">
        <is>
          <t>Delivered</t>
        </is>
      </c>
      <c r="K456" s="4" t="n">
        <v>6</v>
      </c>
      <c r="L456" s="4" t="n">
        <v>8</v>
      </c>
      <c r="M456" s="4">
        <f>C456-B456</f>
        <v/>
      </c>
      <c r="N456" s="5">
        <f>I456/H456</f>
        <v/>
      </c>
      <c r="O456" s="2">
        <f>IF(J456="Cancelled","N/A",IF(L456&lt;=K456,"On Time","Late"))</f>
        <v/>
      </c>
    </row>
    <row r="457">
      <c r="A457" s="6" t="inlineStr">
        <is>
          <t>SHP-1456</t>
        </is>
      </c>
      <c r="B457" s="6" t="inlineStr">
        <is>
          <t>2026-01-03</t>
        </is>
      </c>
      <c r="C457" s="6" t="inlineStr">
        <is>
          <t>2026-01-04</t>
        </is>
      </c>
      <c r="D457" s="7" t="inlineStr">
        <is>
          <t>Hub-West</t>
        </is>
      </c>
      <c r="E457" s="7" t="inlineStr">
        <is>
          <t>Mumbai</t>
        </is>
      </c>
      <c r="F457" s="7" t="inlineStr">
        <is>
          <t>SwiftLog</t>
        </is>
      </c>
      <c r="G457" s="7" t="inlineStr">
        <is>
          <t>Ground</t>
        </is>
      </c>
      <c r="H457" s="8" t="n">
        <v>291</v>
      </c>
      <c r="I457" s="9" t="n">
        <v>11812.7</v>
      </c>
      <c r="J457" s="6" t="inlineStr">
        <is>
          <t>In Transit</t>
        </is>
      </c>
      <c r="K457" s="8" t="n">
        <v>4</v>
      </c>
      <c r="L457" s="8" t="n">
        <v>4</v>
      </c>
      <c r="M457" s="8">
        <f>C457-B457</f>
        <v/>
      </c>
      <c r="N457" s="9">
        <f>I457/H457</f>
        <v/>
      </c>
      <c r="O457" s="6">
        <f>IF(J457="Cancelled","N/A",IF(L457&lt;=K457,"On Time","Late"))</f>
        <v/>
      </c>
    </row>
    <row r="458">
      <c r="A458" s="2" t="inlineStr">
        <is>
          <t>SHP-1457</t>
        </is>
      </c>
      <c r="B458" s="2" t="inlineStr">
        <is>
          <t>2026-01-26</t>
        </is>
      </c>
      <c r="C458" s="2" t="inlineStr">
        <is>
          <t>2026-01-28</t>
        </is>
      </c>
      <c r="D458" s="3" t="inlineStr">
        <is>
          <t>Hub-West</t>
        </is>
      </c>
      <c r="E458" s="3" t="inlineStr">
        <is>
          <t>Mumbai</t>
        </is>
      </c>
      <c r="F458" s="3" t="inlineStr">
        <is>
          <t>ApexCargo</t>
        </is>
      </c>
      <c r="G458" s="3" t="inlineStr">
        <is>
          <t>Rail</t>
        </is>
      </c>
      <c r="H458" s="4" t="n">
        <v>640</v>
      </c>
      <c r="I458" s="5" t="n">
        <v>13562.74</v>
      </c>
      <c r="J458" s="2" t="inlineStr">
        <is>
          <t>Delayed</t>
        </is>
      </c>
      <c r="K458" s="4" t="n">
        <v>7</v>
      </c>
      <c r="L458" s="4" t="n">
        <v>11</v>
      </c>
      <c r="M458" s="4">
        <f>C458-B458</f>
        <v/>
      </c>
      <c r="N458" s="5">
        <f>I458/H458</f>
        <v/>
      </c>
      <c r="O458" s="2">
        <f>IF(J458="Cancelled","N/A",IF(L458&lt;=K458,"On Time","Late"))</f>
        <v/>
      </c>
    </row>
    <row r="459">
      <c r="A459" s="6" t="inlineStr">
        <is>
          <t>SHP-1458</t>
        </is>
      </c>
      <c r="B459" s="6" t="inlineStr">
        <is>
          <t>2026-01-18</t>
        </is>
      </c>
      <c r="C459" s="6" t="inlineStr">
        <is>
          <t>2026-01-18</t>
        </is>
      </c>
      <c r="D459" s="7" t="inlineStr">
        <is>
          <t>Hub-West</t>
        </is>
      </c>
      <c r="E459" s="7" t="inlineStr">
        <is>
          <t>Pune</t>
        </is>
      </c>
      <c r="F459" s="7" t="inlineStr">
        <is>
          <t>MetroEx</t>
        </is>
      </c>
      <c r="G459" s="7" t="inlineStr">
        <is>
          <t>Rail</t>
        </is>
      </c>
      <c r="H459" s="8" t="n">
        <v>509</v>
      </c>
      <c r="I459" s="9" t="n">
        <v>7437.04</v>
      </c>
      <c r="J459" s="6" t="inlineStr">
        <is>
          <t>Delivered</t>
        </is>
      </c>
      <c r="K459" s="8" t="n">
        <v>8</v>
      </c>
      <c r="L459" s="8" t="n">
        <v>9</v>
      </c>
      <c r="M459" s="8">
        <f>C459-B459</f>
        <v/>
      </c>
      <c r="N459" s="9">
        <f>I459/H459</f>
        <v/>
      </c>
      <c r="O459" s="6">
        <f>IF(J459="Cancelled","N/A",IF(L459&lt;=K459,"On Time","Late"))</f>
        <v/>
      </c>
    </row>
    <row r="460">
      <c r="A460" s="2" t="inlineStr">
        <is>
          <t>SHP-1459</t>
        </is>
      </c>
      <c r="B460" s="2" t="inlineStr">
        <is>
          <t>2026-01-05</t>
        </is>
      </c>
      <c r="C460" s="2" t="inlineStr">
        <is>
          <t>2026-01-07</t>
        </is>
      </c>
      <c r="D460" s="3" t="inlineStr">
        <is>
          <t>Hub-North</t>
        </is>
      </c>
      <c r="E460" s="3" t="inlineStr">
        <is>
          <t>Hyderabad</t>
        </is>
      </c>
      <c r="F460" s="3" t="inlineStr">
        <is>
          <t>SwiftLog</t>
        </is>
      </c>
      <c r="G460" s="3" t="inlineStr">
        <is>
          <t>Rail</t>
        </is>
      </c>
      <c r="H460" s="4" t="n">
        <v>1027</v>
      </c>
      <c r="I460" s="5" t="n">
        <v>21321.68</v>
      </c>
      <c r="J460" s="2" t="inlineStr">
        <is>
          <t>Cancelled</t>
        </is>
      </c>
      <c r="K460" s="4" t="n">
        <v>7</v>
      </c>
      <c r="L460" s="4" t="n">
        <v>0</v>
      </c>
      <c r="M460" s="4">
        <f>C460-B460</f>
        <v/>
      </c>
      <c r="N460" s="5">
        <f>I460/H460</f>
        <v/>
      </c>
      <c r="O460" s="2">
        <f>IF(J460="Cancelled","N/A",IF(L460&lt;=K460,"On Time","Late"))</f>
        <v/>
      </c>
    </row>
    <row r="461">
      <c r="A461" s="6" t="inlineStr">
        <is>
          <t>SHP-1460</t>
        </is>
      </c>
      <c r="B461" s="6" t="inlineStr">
        <is>
          <t>2026-01-25</t>
        </is>
      </c>
      <c r="C461" s="6" t="inlineStr">
        <is>
          <t>2026-01-27</t>
        </is>
      </c>
      <c r="D461" s="7" t="inlineStr">
        <is>
          <t>Hub-South</t>
        </is>
      </c>
      <c r="E461" s="7" t="inlineStr">
        <is>
          <t>Chennai</t>
        </is>
      </c>
      <c r="F461" s="7" t="inlineStr">
        <is>
          <t>MetroEx</t>
        </is>
      </c>
      <c r="G461" s="7" t="inlineStr">
        <is>
          <t>Air</t>
        </is>
      </c>
      <c r="H461" s="8" t="n">
        <v>127</v>
      </c>
      <c r="I461" s="9" t="n">
        <v>14780.05</v>
      </c>
      <c r="J461" s="6" t="inlineStr">
        <is>
          <t>Cancelled</t>
        </is>
      </c>
      <c r="K461" s="8" t="n">
        <v>1</v>
      </c>
      <c r="L461" s="8" t="n">
        <v>0</v>
      </c>
      <c r="M461" s="8">
        <f>C461-B461</f>
        <v/>
      </c>
      <c r="N461" s="9">
        <f>I461/H461</f>
        <v/>
      </c>
      <c r="O461" s="6">
        <f>IF(J461="Cancelled","N/A",IF(L461&lt;=K461,"On Time","Late"))</f>
        <v/>
      </c>
    </row>
    <row r="462">
      <c r="A462" s="2" t="inlineStr">
        <is>
          <t>SHP-1461</t>
        </is>
      </c>
      <c r="B462" s="2" t="inlineStr">
        <is>
          <t>2026-01-08</t>
        </is>
      </c>
      <c r="C462" s="2" t="inlineStr">
        <is>
          <t>2026-01-09</t>
        </is>
      </c>
      <c r="D462" s="3" t="inlineStr">
        <is>
          <t>Hub-East</t>
        </is>
      </c>
      <c r="E462" s="3" t="inlineStr">
        <is>
          <t>Ahmedabad</t>
        </is>
      </c>
      <c r="F462" s="3" t="inlineStr">
        <is>
          <t>ApexCargo</t>
        </is>
      </c>
      <c r="G462" s="3" t="inlineStr">
        <is>
          <t>Ground</t>
        </is>
      </c>
      <c r="H462" s="4" t="n">
        <v>496</v>
      </c>
      <c r="I462" s="5" t="n">
        <v>19355.67</v>
      </c>
      <c r="J462" s="2" t="inlineStr">
        <is>
          <t>In Transit</t>
        </is>
      </c>
      <c r="K462" s="4" t="n">
        <v>4</v>
      </c>
      <c r="L462" s="4" t="n">
        <v>4</v>
      </c>
      <c r="M462" s="4">
        <f>C462-B462</f>
        <v/>
      </c>
      <c r="N462" s="5">
        <f>I462/H462</f>
        <v/>
      </c>
      <c r="O462" s="2">
        <f>IF(J462="Cancelled","N/A",IF(L462&lt;=K462,"On Time","Late"))</f>
        <v/>
      </c>
    </row>
    <row r="463">
      <c r="A463" s="6" t="inlineStr">
        <is>
          <t>SHP-1462</t>
        </is>
      </c>
      <c r="B463" s="6" t="inlineStr">
        <is>
          <t>2026-01-23</t>
        </is>
      </c>
      <c r="C463" s="6" t="inlineStr">
        <is>
          <t>2026-01-25</t>
        </is>
      </c>
      <c r="D463" s="7" t="inlineStr">
        <is>
          <t>Hub-East</t>
        </is>
      </c>
      <c r="E463" s="7" t="inlineStr">
        <is>
          <t>Kolkata</t>
        </is>
      </c>
      <c r="F463" s="7" t="inlineStr">
        <is>
          <t>SwiftLog</t>
        </is>
      </c>
      <c r="G463" s="7" t="inlineStr">
        <is>
          <t>Air</t>
        </is>
      </c>
      <c r="H463" s="8" t="n">
        <v>33</v>
      </c>
      <c r="I463" s="9" t="n">
        <v>3265.76</v>
      </c>
      <c r="J463" s="6" t="inlineStr">
        <is>
          <t>Delivered</t>
        </is>
      </c>
      <c r="K463" s="8" t="n">
        <v>2</v>
      </c>
      <c r="L463" s="8" t="n">
        <v>3</v>
      </c>
      <c r="M463" s="8">
        <f>C463-B463</f>
        <v/>
      </c>
      <c r="N463" s="9">
        <f>I463/H463</f>
        <v/>
      </c>
      <c r="O463" s="6">
        <f>IF(J463="Cancelled","N/A",IF(L463&lt;=K463,"On Time","Late"))</f>
        <v/>
      </c>
    </row>
    <row r="464">
      <c r="A464" s="2" t="inlineStr">
        <is>
          <t>SHP-1463</t>
        </is>
      </c>
      <c r="B464" s="2" t="inlineStr">
        <is>
          <t>2026-01-12</t>
        </is>
      </c>
      <c r="C464" s="2" t="inlineStr">
        <is>
          <t>2026-01-13</t>
        </is>
      </c>
      <c r="D464" s="3" t="inlineStr">
        <is>
          <t>Hub-North</t>
        </is>
      </c>
      <c r="E464" s="3" t="inlineStr">
        <is>
          <t>Hyderabad</t>
        </is>
      </c>
      <c r="F464" s="3" t="inlineStr">
        <is>
          <t>SwiftLog</t>
        </is>
      </c>
      <c r="G464" s="3" t="inlineStr">
        <is>
          <t>Rail</t>
        </is>
      </c>
      <c r="H464" s="4" t="n">
        <v>1051</v>
      </c>
      <c r="I464" s="5" t="n">
        <v>14533.06</v>
      </c>
      <c r="J464" s="2" t="inlineStr">
        <is>
          <t>Cancelled</t>
        </is>
      </c>
      <c r="K464" s="4" t="n">
        <v>6</v>
      </c>
      <c r="L464" s="4" t="n">
        <v>0</v>
      </c>
      <c r="M464" s="4">
        <f>C464-B464</f>
        <v/>
      </c>
      <c r="N464" s="5">
        <f>I464/H464</f>
        <v/>
      </c>
      <c r="O464" s="2">
        <f>IF(J464="Cancelled","N/A",IF(L464&lt;=K464,"On Time","Late"))</f>
        <v/>
      </c>
    </row>
    <row r="465">
      <c r="A465" s="6" t="inlineStr">
        <is>
          <t>SHP-1464</t>
        </is>
      </c>
      <c r="B465" s="6" t="inlineStr">
        <is>
          <t>2026-01-13</t>
        </is>
      </c>
      <c r="C465" s="6" t="inlineStr">
        <is>
          <t>2026-01-13</t>
        </is>
      </c>
      <c r="D465" s="7" t="inlineStr">
        <is>
          <t>Hub-West</t>
        </is>
      </c>
      <c r="E465" s="7" t="inlineStr">
        <is>
          <t>Kolkata</t>
        </is>
      </c>
      <c r="F465" s="7" t="inlineStr">
        <is>
          <t>SwiftLog</t>
        </is>
      </c>
      <c r="G465" s="7" t="inlineStr">
        <is>
          <t>Ground</t>
        </is>
      </c>
      <c r="H465" s="8" t="n">
        <v>253</v>
      </c>
      <c r="I465" s="9" t="n">
        <v>10549.8</v>
      </c>
      <c r="J465" s="6" t="inlineStr">
        <is>
          <t>Delayed</t>
        </is>
      </c>
      <c r="K465" s="8" t="n">
        <v>5</v>
      </c>
      <c r="L465" s="8" t="n">
        <v>8</v>
      </c>
      <c r="M465" s="8">
        <f>C465-B465</f>
        <v/>
      </c>
      <c r="N465" s="9">
        <f>I465/H465</f>
        <v/>
      </c>
      <c r="O465" s="6">
        <f>IF(J465="Cancelled","N/A",IF(L465&lt;=K465,"On Time","Late"))</f>
        <v/>
      </c>
    </row>
    <row r="466">
      <c r="A466" s="2" t="inlineStr">
        <is>
          <t>SHP-1465</t>
        </is>
      </c>
      <c r="B466" s="2" t="inlineStr">
        <is>
          <t>2026-01-07</t>
        </is>
      </c>
      <c r="C466" s="2" t="inlineStr">
        <is>
          <t>2026-01-07</t>
        </is>
      </c>
      <c r="D466" s="3" t="inlineStr">
        <is>
          <t>Hub-East</t>
        </is>
      </c>
      <c r="E466" s="3" t="inlineStr">
        <is>
          <t>Pune</t>
        </is>
      </c>
      <c r="F466" s="3" t="inlineStr">
        <is>
          <t>ApexCargo</t>
        </is>
      </c>
      <c r="G466" s="3" t="inlineStr">
        <is>
          <t>Ground</t>
        </is>
      </c>
      <c r="H466" s="4" t="n">
        <v>541</v>
      </c>
      <c r="I466" s="5" t="n">
        <v>22798.71</v>
      </c>
      <c r="J466" s="2" t="inlineStr">
        <is>
          <t>Cancelled</t>
        </is>
      </c>
      <c r="K466" s="4" t="n">
        <v>3</v>
      </c>
      <c r="L466" s="4" t="n">
        <v>0</v>
      </c>
      <c r="M466" s="4">
        <f>C466-B466</f>
        <v/>
      </c>
      <c r="N466" s="5">
        <f>I466/H466</f>
        <v/>
      </c>
      <c r="O466" s="2">
        <f>IF(J466="Cancelled","N/A",IF(L466&lt;=K466,"On Time","Late"))</f>
        <v/>
      </c>
    </row>
    <row r="467">
      <c r="A467" s="6" t="inlineStr">
        <is>
          <t>SHP-1466</t>
        </is>
      </c>
      <c r="B467" s="6" t="inlineStr">
        <is>
          <t>2026-01-24</t>
        </is>
      </c>
      <c r="C467" s="6" t="inlineStr">
        <is>
          <t>2026-01-26</t>
        </is>
      </c>
      <c r="D467" s="7" t="inlineStr">
        <is>
          <t>Hub-North</t>
        </is>
      </c>
      <c r="E467" s="7" t="inlineStr">
        <is>
          <t>Pune</t>
        </is>
      </c>
      <c r="F467" s="7" t="inlineStr">
        <is>
          <t>ApexCargo</t>
        </is>
      </c>
      <c r="G467" s="7" t="inlineStr">
        <is>
          <t>Air</t>
        </is>
      </c>
      <c r="H467" s="8" t="n">
        <v>135</v>
      </c>
      <c r="I467" s="9" t="n">
        <v>12339.07</v>
      </c>
      <c r="J467" s="6" t="inlineStr">
        <is>
          <t>In Transit</t>
        </is>
      </c>
      <c r="K467" s="8" t="n">
        <v>2</v>
      </c>
      <c r="L467" s="8" t="n">
        <v>2</v>
      </c>
      <c r="M467" s="8">
        <f>C467-B467</f>
        <v/>
      </c>
      <c r="N467" s="9">
        <f>I467/H467</f>
        <v/>
      </c>
      <c r="O467" s="6">
        <f>IF(J467="Cancelled","N/A",IF(L467&lt;=K467,"On Time","Late"))</f>
        <v/>
      </c>
    </row>
    <row r="468">
      <c r="A468" s="2" t="inlineStr">
        <is>
          <t>SHP-1467</t>
        </is>
      </c>
      <c r="B468" s="2" t="inlineStr">
        <is>
          <t>2026-01-15</t>
        </is>
      </c>
      <c r="C468" s="2" t="inlineStr">
        <is>
          <t>2026-01-17</t>
        </is>
      </c>
      <c r="D468" s="3" t="inlineStr">
        <is>
          <t>Hub-West</t>
        </is>
      </c>
      <c r="E468" s="3" t="inlineStr">
        <is>
          <t>Mumbai</t>
        </is>
      </c>
      <c r="F468" s="3" t="inlineStr">
        <is>
          <t>ApexCargo</t>
        </is>
      </c>
      <c r="G468" s="3" t="inlineStr">
        <is>
          <t>Air</t>
        </is>
      </c>
      <c r="H468" s="4" t="n">
        <v>132</v>
      </c>
      <c r="I468" s="5" t="n">
        <v>15561.2</v>
      </c>
      <c r="J468" s="2" t="inlineStr">
        <is>
          <t>Delayed</t>
        </is>
      </c>
      <c r="K468" s="4" t="n">
        <v>1</v>
      </c>
      <c r="L468" s="4" t="n">
        <v>6</v>
      </c>
      <c r="M468" s="4">
        <f>C468-B468</f>
        <v/>
      </c>
      <c r="N468" s="5">
        <f>I468/H468</f>
        <v/>
      </c>
      <c r="O468" s="2">
        <f>IF(J468="Cancelled","N/A",IF(L468&lt;=K468,"On Time","Late"))</f>
        <v/>
      </c>
    </row>
    <row r="469">
      <c r="A469" s="6" t="inlineStr">
        <is>
          <t>SHP-1468</t>
        </is>
      </c>
      <c r="B469" s="6" t="inlineStr">
        <is>
          <t>2026-02-13</t>
        </is>
      </c>
      <c r="C469" s="6" t="inlineStr">
        <is>
          <t>2026-02-13</t>
        </is>
      </c>
      <c r="D469" s="7" t="inlineStr">
        <is>
          <t>Hub-South</t>
        </is>
      </c>
      <c r="E469" s="7" t="inlineStr">
        <is>
          <t>Delhi</t>
        </is>
      </c>
      <c r="F469" s="7" t="inlineStr">
        <is>
          <t>ApexCargo</t>
        </is>
      </c>
      <c r="G469" s="7" t="inlineStr">
        <is>
          <t>Rail</t>
        </is>
      </c>
      <c r="H469" s="8" t="n">
        <v>1442</v>
      </c>
      <c r="I469" s="9" t="n">
        <v>21855.69</v>
      </c>
      <c r="J469" s="6" t="inlineStr">
        <is>
          <t>Delivered</t>
        </is>
      </c>
      <c r="K469" s="8" t="n">
        <v>5</v>
      </c>
      <c r="L469" s="8" t="n">
        <v>7</v>
      </c>
      <c r="M469" s="8">
        <f>C469-B469</f>
        <v/>
      </c>
      <c r="N469" s="9">
        <f>I469/H469</f>
        <v/>
      </c>
      <c r="O469" s="6">
        <f>IF(J469="Cancelled","N/A",IF(L469&lt;=K469,"On Time","Late"))</f>
        <v/>
      </c>
    </row>
    <row r="470">
      <c r="A470" s="2" t="inlineStr">
        <is>
          <t>SHP-1469</t>
        </is>
      </c>
      <c r="B470" s="2" t="inlineStr">
        <is>
          <t>2026-01-14</t>
        </is>
      </c>
      <c r="C470" s="2" t="inlineStr">
        <is>
          <t>2026-01-15</t>
        </is>
      </c>
      <c r="D470" s="3" t="inlineStr">
        <is>
          <t>Hub-East</t>
        </is>
      </c>
      <c r="E470" s="3" t="inlineStr">
        <is>
          <t>Hyderabad</t>
        </is>
      </c>
      <c r="F470" s="3" t="inlineStr">
        <is>
          <t>MetroEx</t>
        </is>
      </c>
      <c r="G470" s="3" t="inlineStr">
        <is>
          <t>Rail</t>
        </is>
      </c>
      <c r="H470" s="4" t="n">
        <v>1031</v>
      </c>
      <c r="I470" s="5" t="n">
        <v>14301.54</v>
      </c>
      <c r="J470" s="2" t="inlineStr">
        <is>
          <t>Delivered</t>
        </is>
      </c>
      <c r="K470" s="4" t="n">
        <v>7</v>
      </c>
      <c r="L470" s="4" t="n">
        <v>7</v>
      </c>
      <c r="M470" s="4">
        <f>C470-B470</f>
        <v/>
      </c>
      <c r="N470" s="5">
        <f>I470/H470</f>
        <v/>
      </c>
      <c r="O470" s="2">
        <f>IF(J470="Cancelled","N/A",IF(L470&lt;=K470,"On Time","Late"))</f>
        <v/>
      </c>
    </row>
    <row r="471">
      <c r="A471" s="6" t="inlineStr">
        <is>
          <t>SHP-1470</t>
        </is>
      </c>
      <c r="B471" s="6" t="inlineStr">
        <is>
          <t>2026-01-31</t>
        </is>
      </c>
      <c r="C471" s="6" t="inlineStr">
        <is>
          <t>2026-02-02</t>
        </is>
      </c>
      <c r="D471" s="7" t="inlineStr">
        <is>
          <t>Hub-North</t>
        </is>
      </c>
      <c r="E471" s="7" t="inlineStr">
        <is>
          <t>Hyderabad</t>
        </is>
      </c>
      <c r="F471" s="7" t="inlineStr">
        <is>
          <t>SwiftLog</t>
        </is>
      </c>
      <c r="G471" s="7" t="inlineStr">
        <is>
          <t>Air</t>
        </is>
      </c>
      <c r="H471" s="8" t="n">
        <v>118</v>
      </c>
      <c r="I471" s="9" t="n">
        <v>10899.5</v>
      </c>
      <c r="J471" s="6" t="inlineStr">
        <is>
          <t>Delayed</t>
        </is>
      </c>
      <c r="K471" s="8" t="n">
        <v>2</v>
      </c>
      <c r="L471" s="8" t="n">
        <v>7</v>
      </c>
      <c r="M471" s="8">
        <f>C471-B471</f>
        <v/>
      </c>
      <c r="N471" s="9">
        <f>I471/H471</f>
        <v/>
      </c>
      <c r="O471" s="6">
        <f>IF(J471="Cancelled","N/A",IF(L471&lt;=K471,"On Time","Late"))</f>
        <v/>
      </c>
    </row>
    <row r="472">
      <c r="A472" s="2" t="inlineStr">
        <is>
          <t>SHP-1471</t>
        </is>
      </c>
      <c r="B472" s="2" t="inlineStr">
        <is>
          <t>2026-01-18</t>
        </is>
      </c>
      <c r="C472" s="2" t="inlineStr">
        <is>
          <t>2026-01-19</t>
        </is>
      </c>
      <c r="D472" s="3" t="inlineStr">
        <is>
          <t>Hub-West</t>
        </is>
      </c>
      <c r="E472" s="3" t="inlineStr">
        <is>
          <t>Bangalore</t>
        </is>
      </c>
      <c r="F472" s="3" t="inlineStr">
        <is>
          <t>ApexCargo</t>
        </is>
      </c>
      <c r="G472" s="3" t="inlineStr">
        <is>
          <t>Rail</t>
        </is>
      </c>
      <c r="H472" s="4" t="n">
        <v>968</v>
      </c>
      <c r="I472" s="5" t="n">
        <v>19497.37</v>
      </c>
      <c r="J472" s="2" t="inlineStr">
        <is>
          <t>Delivered</t>
        </is>
      </c>
      <c r="K472" s="4" t="n">
        <v>7</v>
      </c>
      <c r="L472" s="4" t="n">
        <v>8</v>
      </c>
      <c r="M472" s="4">
        <f>C472-B472</f>
        <v/>
      </c>
      <c r="N472" s="5">
        <f>I472/H472</f>
        <v/>
      </c>
      <c r="O472" s="2">
        <f>IF(J472="Cancelled","N/A",IF(L472&lt;=K472,"On Time","Late"))</f>
        <v/>
      </c>
    </row>
    <row r="473">
      <c r="A473" s="6" t="inlineStr">
        <is>
          <t>SHP-1472</t>
        </is>
      </c>
      <c r="B473" s="6" t="inlineStr">
        <is>
          <t>2026-01-28</t>
        </is>
      </c>
      <c r="C473" s="6" t="inlineStr">
        <is>
          <t>2026-01-29</t>
        </is>
      </c>
      <c r="D473" s="7" t="inlineStr">
        <is>
          <t>Hub-West</t>
        </is>
      </c>
      <c r="E473" s="7" t="inlineStr">
        <is>
          <t>Bangalore</t>
        </is>
      </c>
      <c r="F473" s="7" t="inlineStr">
        <is>
          <t>ApexCargo</t>
        </is>
      </c>
      <c r="G473" s="7" t="inlineStr">
        <is>
          <t>Ground</t>
        </is>
      </c>
      <c r="H473" s="8" t="n">
        <v>392</v>
      </c>
      <c r="I473" s="9" t="n">
        <v>16116.44</v>
      </c>
      <c r="J473" s="6" t="inlineStr">
        <is>
          <t>In Transit</t>
        </is>
      </c>
      <c r="K473" s="8" t="n">
        <v>3</v>
      </c>
      <c r="L473" s="8" t="n">
        <v>3</v>
      </c>
      <c r="M473" s="8">
        <f>C473-B473</f>
        <v/>
      </c>
      <c r="N473" s="9">
        <f>I473/H473</f>
        <v/>
      </c>
      <c r="O473" s="6">
        <f>IF(J473="Cancelled","N/A",IF(L473&lt;=K473,"On Time","Late"))</f>
        <v/>
      </c>
    </row>
    <row r="474">
      <c r="A474" s="2" t="inlineStr">
        <is>
          <t>SHP-1473</t>
        </is>
      </c>
      <c r="B474" s="2" t="inlineStr">
        <is>
          <t>2026-02-01</t>
        </is>
      </c>
      <c r="C474" s="2" t="inlineStr">
        <is>
          <t>2026-02-01</t>
        </is>
      </c>
      <c r="D474" s="3" t="inlineStr">
        <is>
          <t>Hub-North</t>
        </is>
      </c>
      <c r="E474" s="3" t="inlineStr">
        <is>
          <t>Pune</t>
        </is>
      </c>
      <c r="F474" s="3" t="inlineStr">
        <is>
          <t>MetroEx</t>
        </is>
      </c>
      <c r="G474" s="3" t="inlineStr">
        <is>
          <t>Air</t>
        </is>
      </c>
      <c r="H474" s="4" t="n">
        <v>22</v>
      </c>
      <c r="I474" s="5" t="n">
        <v>2176.77</v>
      </c>
      <c r="J474" s="2" t="inlineStr">
        <is>
          <t>Delivered</t>
        </is>
      </c>
      <c r="K474" s="4" t="n">
        <v>1</v>
      </c>
      <c r="L474" s="4" t="n">
        <v>1</v>
      </c>
      <c r="M474" s="4">
        <f>C474-B474</f>
        <v/>
      </c>
      <c r="N474" s="5">
        <f>I474/H474</f>
        <v/>
      </c>
      <c r="O474" s="2">
        <f>IF(J474="Cancelled","N/A",IF(L474&lt;=K474,"On Time","Late"))</f>
        <v/>
      </c>
    </row>
    <row r="475">
      <c r="A475" s="6" t="inlineStr">
        <is>
          <t>SHP-1474</t>
        </is>
      </c>
      <c r="B475" s="6" t="inlineStr">
        <is>
          <t>2026-01-17</t>
        </is>
      </c>
      <c r="C475" s="6" t="inlineStr">
        <is>
          <t>2026-01-18</t>
        </is>
      </c>
      <c r="D475" s="7" t="inlineStr">
        <is>
          <t>Hub-East</t>
        </is>
      </c>
      <c r="E475" s="7" t="inlineStr">
        <is>
          <t>Pune</t>
        </is>
      </c>
      <c r="F475" s="7" t="inlineStr">
        <is>
          <t>ApexCargo</t>
        </is>
      </c>
      <c r="G475" s="7" t="inlineStr">
        <is>
          <t>Air</t>
        </is>
      </c>
      <c r="H475" s="8" t="n">
        <v>76</v>
      </c>
      <c r="I475" s="9" t="n">
        <v>7420.16</v>
      </c>
      <c r="J475" s="6" t="inlineStr">
        <is>
          <t>Delayed</t>
        </is>
      </c>
      <c r="K475" s="8" t="n">
        <v>2</v>
      </c>
      <c r="L475" s="8" t="n">
        <v>4</v>
      </c>
      <c r="M475" s="8">
        <f>C475-B475</f>
        <v/>
      </c>
      <c r="N475" s="9">
        <f>I475/H475</f>
        <v/>
      </c>
      <c r="O475" s="6">
        <f>IF(J475="Cancelled","N/A",IF(L475&lt;=K475,"On Time","Late"))</f>
        <v/>
      </c>
    </row>
    <row r="476">
      <c r="A476" s="2" t="inlineStr">
        <is>
          <t>SHP-1475</t>
        </is>
      </c>
      <c r="B476" s="2" t="inlineStr">
        <is>
          <t>2026-01-27</t>
        </is>
      </c>
      <c r="C476" s="2" t="inlineStr">
        <is>
          <t>2026-01-27</t>
        </is>
      </c>
      <c r="D476" s="3" t="inlineStr">
        <is>
          <t>Hub-North</t>
        </is>
      </c>
      <c r="E476" s="3" t="inlineStr">
        <is>
          <t>Chennai</t>
        </is>
      </c>
      <c r="F476" s="3" t="inlineStr">
        <is>
          <t>ApexCargo</t>
        </is>
      </c>
      <c r="G476" s="3" t="inlineStr">
        <is>
          <t>Rail</t>
        </is>
      </c>
      <c r="H476" s="4" t="n">
        <v>1830</v>
      </c>
      <c r="I476" s="5" t="n">
        <v>33839.1</v>
      </c>
      <c r="J476" s="2" t="inlineStr">
        <is>
          <t>Delivered</t>
        </is>
      </c>
      <c r="K476" s="4" t="n">
        <v>6</v>
      </c>
      <c r="L476" s="4" t="n">
        <v>6</v>
      </c>
      <c r="M476" s="4">
        <f>C476-B476</f>
        <v/>
      </c>
      <c r="N476" s="5">
        <f>I476/H476</f>
        <v/>
      </c>
      <c r="O476" s="2">
        <f>IF(J476="Cancelled","N/A",IF(L476&lt;=K476,"On Time","Late"))</f>
        <v/>
      </c>
    </row>
    <row r="477">
      <c r="A477" s="6" t="inlineStr">
        <is>
          <t>SHP-1476</t>
        </is>
      </c>
      <c r="B477" s="6" t="inlineStr">
        <is>
          <t>2026-01-21</t>
        </is>
      </c>
      <c r="C477" s="6" t="inlineStr">
        <is>
          <t>2026-01-23</t>
        </is>
      </c>
      <c r="D477" s="7" t="inlineStr">
        <is>
          <t>Hub-South</t>
        </is>
      </c>
      <c r="E477" s="7" t="inlineStr">
        <is>
          <t>Pune</t>
        </is>
      </c>
      <c r="F477" s="7" t="inlineStr">
        <is>
          <t>SwiftLog</t>
        </is>
      </c>
      <c r="G477" s="7" t="inlineStr">
        <is>
          <t>Air</t>
        </is>
      </c>
      <c r="H477" s="8" t="n">
        <v>83</v>
      </c>
      <c r="I477" s="9" t="n">
        <v>8402.200000000001</v>
      </c>
      <c r="J477" s="6" t="inlineStr">
        <is>
          <t>Delivered</t>
        </is>
      </c>
      <c r="K477" s="8" t="n">
        <v>1</v>
      </c>
      <c r="L477" s="8" t="n">
        <v>3</v>
      </c>
      <c r="M477" s="8">
        <f>C477-B477</f>
        <v/>
      </c>
      <c r="N477" s="9">
        <f>I477/H477</f>
        <v/>
      </c>
      <c r="O477" s="6">
        <f>IF(J477="Cancelled","N/A",IF(L477&lt;=K477,"On Time","Late"))</f>
        <v/>
      </c>
    </row>
    <row r="478">
      <c r="A478" s="2" t="inlineStr">
        <is>
          <t>SHP-1477</t>
        </is>
      </c>
      <c r="B478" s="2" t="inlineStr">
        <is>
          <t>2026-01-22</t>
        </is>
      </c>
      <c r="C478" s="2" t="inlineStr">
        <is>
          <t>2026-01-23</t>
        </is>
      </c>
      <c r="D478" s="3" t="inlineStr">
        <is>
          <t>Hub-South</t>
        </is>
      </c>
      <c r="E478" s="3" t="inlineStr">
        <is>
          <t>Delhi</t>
        </is>
      </c>
      <c r="F478" s="3" t="inlineStr">
        <is>
          <t>SwiftLog</t>
        </is>
      </c>
      <c r="G478" s="3" t="inlineStr">
        <is>
          <t>Ground</t>
        </is>
      </c>
      <c r="H478" s="4" t="n">
        <v>325</v>
      </c>
      <c r="I478" s="5" t="n">
        <v>9608.42</v>
      </c>
      <c r="J478" s="2" t="inlineStr">
        <is>
          <t>Delivered</t>
        </is>
      </c>
      <c r="K478" s="4" t="n">
        <v>4</v>
      </c>
      <c r="L478" s="4" t="n">
        <v>6</v>
      </c>
      <c r="M478" s="4">
        <f>C478-B478</f>
        <v/>
      </c>
      <c r="N478" s="5">
        <f>I478/H478</f>
        <v/>
      </c>
      <c r="O478" s="2">
        <f>IF(J478="Cancelled","N/A",IF(L478&lt;=K478,"On Time","Late"))</f>
        <v/>
      </c>
    </row>
    <row r="479">
      <c r="A479" s="6" t="inlineStr">
        <is>
          <t>SHP-1478</t>
        </is>
      </c>
      <c r="B479" s="6" t="inlineStr">
        <is>
          <t>2026-01-18</t>
        </is>
      </c>
      <c r="C479" s="6" t="inlineStr">
        <is>
          <t>2026-01-20</t>
        </is>
      </c>
      <c r="D479" s="7" t="inlineStr">
        <is>
          <t>Hub-South</t>
        </is>
      </c>
      <c r="E479" s="7" t="inlineStr">
        <is>
          <t>Kolkata</t>
        </is>
      </c>
      <c r="F479" s="7" t="inlineStr">
        <is>
          <t>MetroEx</t>
        </is>
      </c>
      <c r="G479" s="7" t="inlineStr">
        <is>
          <t>Air</t>
        </is>
      </c>
      <c r="H479" s="8" t="n">
        <v>143</v>
      </c>
      <c r="I479" s="9" t="n">
        <v>16987.46</v>
      </c>
      <c r="J479" s="6" t="inlineStr">
        <is>
          <t>Delivered</t>
        </is>
      </c>
      <c r="K479" s="8" t="n">
        <v>2</v>
      </c>
      <c r="L479" s="8" t="n">
        <v>2</v>
      </c>
      <c r="M479" s="8">
        <f>C479-B479</f>
        <v/>
      </c>
      <c r="N479" s="9">
        <f>I479/H479</f>
        <v/>
      </c>
      <c r="O479" s="6">
        <f>IF(J479="Cancelled","N/A",IF(L479&lt;=K479,"On Time","Late"))</f>
        <v/>
      </c>
    </row>
    <row r="480">
      <c r="A480" s="2" t="inlineStr">
        <is>
          <t>SHP-1479</t>
        </is>
      </c>
      <c r="B480" s="2" t="inlineStr">
        <is>
          <t>2026-01-02</t>
        </is>
      </c>
      <c r="C480" s="2" t="inlineStr">
        <is>
          <t>2026-01-02</t>
        </is>
      </c>
      <c r="D480" s="3" t="inlineStr">
        <is>
          <t>Hub-West</t>
        </is>
      </c>
      <c r="E480" s="3" t="inlineStr">
        <is>
          <t>Kolkata</t>
        </is>
      </c>
      <c r="F480" s="3" t="inlineStr">
        <is>
          <t>ApexCargo</t>
        </is>
      </c>
      <c r="G480" s="3" t="inlineStr">
        <is>
          <t>Rail</t>
        </is>
      </c>
      <c r="H480" s="4" t="n">
        <v>663</v>
      </c>
      <c r="I480" s="5" t="n">
        <v>9352.09</v>
      </c>
      <c r="J480" s="2" t="inlineStr">
        <is>
          <t>Delivered</t>
        </is>
      </c>
      <c r="K480" s="4" t="n">
        <v>8</v>
      </c>
      <c r="L480" s="4" t="n">
        <v>7</v>
      </c>
      <c r="M480" s="4">
        <f>C480-B480</f>
        <v/>
      </c>
      <c r="N480" s="5">
        <f>I480/H480</f>
        <v/>
      </c>
      <c r="O480" s="2">
        <f>IF(J480="Cancelled","N/A",IF(L480&lt;=K480,"On Time","Late"))</f>
        <v/>
      </c>
    </row>
    <row r="481">
      <c r="A481" s="6" t="inlineStr">
        <is>
          <t>SHP-1480</t>
        </is>
      </c>
      <c r="B481" s="6" t="inlineStr">
        <is>
          <t>2026-01-05</t>
        </is>
      </c>
      <c r="C481" s="6" t="inlineStr">
        <is>
          <t>2026-01-06</t>
        </is>
      </c>
      <c r="D481" s="7" t="inlineStr">
        <is>
          <t>Hub-East</t>
        </is>
      </c>
      <c r="E481" s="7" t="inlineStr">
        <is>
          <t>Mumbai</t>
        </is>
      </c>
      <c r="F481" s="7" t="inlineStr">
        <is>
          <t>MetroEx</t>
        </is>
      </c>
      <c r="G481" s="7" t="inlineStr">
        <is>
          <t>Rail</t>
        </is>
      </c>
      <c r="H481" s="8" t="n">
        <v>670</v>
      </c>
      <c r="I481" s="9" t="n">
        <v>8736.32</v>
      </c>
      <c r="J481" s="6" t="inlineStr">
        <is>
          <t>Delivered</t>
        </is>
      </c>
      <c r="K481" s="8" t="n">
        <v>6</v>
      </c>
      <c r="L481" s="8" t="n">
        <v>8</v>
      </c>
      <c r="M481" s="8">
        <f>C481-B481</f>
        <v/>
      </c>
      <c r="N481" s="9">
        <f>I481/H481</f>
        <v/>
      </c>
      <c r="O481" s="6">
        <f>IF(J481="Cancelled","N/A",IF(L481&lt;=K481,"On Time","Late"))</f>
        <v/>
      </c>
    </row>
    <row r="482">
      <c r="A482" s="2" t="inlineStr">
        <is>
          <t>SHP-1481</t>
        </is>
      </c>
      <c r="B482" s="2" t="inlineStr">
        <is>
          <t>2026-01-25</t>
        </is>
      </c>
      <c r="C482" s="2" t="inlineStr">
        <is>
          <t>2026-01-26</t>
        </is>
      </c>
      <c r="D482" s="3" t="inlineStr">
        <is>
          <t>Hub-West</t>
        </is>
      </c>
      <c r="E482" s="3" t="inlineStr">
        <is>
          <t>Chennai</t>
        </is>
      </c>
      <c r="F482" s="3" t="inlineStr">
        <is>
          <t>ApexCargo</t>
        </is>
      </c>
      <c r="G482" s="3" t="inlineStr">
        <is>
          <t>Air</t>
        </is>
      </c>
      <c r="H482" s="4" t="n">
        <v>123</v>
      </c>
      <c r="I482" s="5" t="n">
        <v>13152</v>
      </c>
      <c r="J482" s="2" t="inlineStr">
        <is>
          <t>Delivered</t>
        </is>
      </c>
      <c r="K482" s="4" t="n">
        <v>1</v>
      </c>
      <c r="L482" s="4" t="n">
        <v>1</v>
      </c>
      <c r="M482" s="4">
        <f>C482-B482</f>
        <v/>
      </c>
      <c r="N482" s="5">
        <f>I482/H482</f>
        <v/>
      </c>
      <c r="O482" s="2">
        <f>IF(J482="Cancelled","N/A",IF(L482&lt;=K482,"On Time","Late"))</f>
        <v/>
      </c>
    </row>
    <row r="483">
      <c r="A483" s="6" t="inlineStr">
        <is>
          <t>SHP-1482</t>
        </is>
      </c>
      <c r="B483" s="6" t="inlineStr">
        <is>
          <t>2026-01-03</t>
        </is>
      </c>
      <c r="C483" s="6" t="inlineStr">
        <is>
          <t>2026-01-04</t>
        </is>
      </c>
      <c r="D483" s="7" t="inlineStr">
        <is>
          <t>Hub-North</t>
        </is>
      </c>
      <c r="E483" s="7" t="inlineStr">
        <is>
          <t>Pune</t>
        </is>
      </c>
      <c r="F483" s="7" t="inlineStr">
        <is>
          <t>MetroEx</t>
        </is>
      </c>
      <c r="G483" s="7" t="inlineStr">
        <is>
          <t>Rail</t>
        </is>
      </c>
      <c r="H483" s="8" t="n">
        <v>1057</v>
      </c>
      <c r="I483" s="9" t="n">
        <v>18482.12</v>
      </c>
      <c r="J483" s="6" t="inlineStr">
        <is>
          <t>Delivered</t>
        </is>
      </c>
      <c r="K483" s="8" t="n">
        <v>6</v>
      </c>
      <c r="L483" s="8" t="n">
        <v>7</v>
      </c>
      <c r="M483" s="8">
        <f>C483-B483</f>
        <v/>
      </c>
      <c r="N483" s="9">
        <f>I483/H483</f>
        <v/>
      </c>
      <c r="O483" s="6">
        <f>IF(J483="Cancelled","N/A",IF(L483&lt;=K483,"On Time","Late"))</f>
        <v/>
      </c>
    </row>
    <row r="484">
      <c r="A484" s="2" t="inlineStr">
        <is>
          <t>SHP-1483</t>
        </is>
      </c>
      <c r="B484" s="2" t="inlineStr">
        <is>
          <t>2026-02-08</t>
        </is>
      </c>
      <c r="C484" s="2" t="inlineStr">
        <is>
          <t>2026-02-09</t>
        </is>
      </c>
      <c r="D484" s="3" t="inlineStr">
        <is>
          <t>Hub-South</t>
        </is>
      </c>
      <c r="E484" s="3" t="inlineStr">
        <is>
          <t>Kolkata</t>
        </is>
      </c>
      <c r="F484" s="3" t="inlineStr">
        <is>
          <t>MetroEx</t>
        </is>
      </c>
      <c r="G484" s="3" t="inlineStr">
        <is>
          <t>Air</t>
        </is>
      </c>
      <c r="H484" s="4" t="n">
        <v>148</v>
      </c>
      <c r="I484" s="5" t="n">
        <v>13756.53</v>
      </c>
      <c r="J484" s="2" t="inlineStr">
        <is>
          <t>Cancelled</t>
        </is>
      </c>
      <c r="K484" s="4" t="n">
        <v>1</v>
      </c>
      <c r="L484" s="4" t="n">
        <v>0</v>
      </c>
      <c r="M484" s="4">
        <f>C484-B484</f>
        <v/>
      </c>
      <c r="N484" s="5">
        <f>I484/H484</f>
        <v/>
      </c>
      <c r="O484" s="2">
        <f>IF(J484="Cancelled","N/A",IF(L484&lt;=K484,"On Time","Late"))</f>
        <v/>
      </c>
    </row>
    <row r="485">
      <c r="A485" s="6" t="inlineStr">
        <is>
          <t>SHP-1484</t>
        </is>
      </c>
      <c r="B485" s="6" t="inlineStr">
        <is>
          <t>2026-01-20</t>
        </is>
      </c>
      <c r="C485" s="6" t="inlineStr">
        <is>
          <t>2026-01-21</t>
        </is>
      </c>
      <c r="D485" s="7" t="inlineStr">
        <is>
          <t>Hub-South</t>
        </is>
      </c>
      <c r="E485" s="7" t="inlineStr">
        <is>
          <t>Kolkata</t>
        </is>
      </c>
      <c r="F485" s="7" t="inlineStr">
        <is>
          <t>SwiftLog</t>
        </is>
      </c>
      <c r="G485" s="7" t="inlineStr">
        <is>
          <t>Air</t>
        </is>
      </c>
      <c r="H485" s="8" t="n">
        <v>12</v>
      </c>
      <c r="I485" s="9" t="n">
        <v>1020.04</v>
      </c>
      <c r="J485" s="6" t="inlineStr">
        <is>
          <t>Delayed</t>
        </is>
      </c>
      <c r="K485" s="8" t="n">
        <v>1</v>
      </c>
      <c r="L485" s="8" t="n">
        <v>5</v>
      </c>
      <c r="M485" s="8">
        <f>C485-B485</f>
        <v/>
      </c>
      <c r="N485" s="9">
        <f>I485/H485</f>
        <v/>
      </c>
      <c r="O485" s="6">
        <f>IF(J485="Cancelled","N/A",IF(L485&lt;=K485,"On Time","Late"))</f>
        <v/>
      </c>
    </row>
    <row r="486">
      <c r="A486" s="2" t="inlineStr">
        <is>
          <t>SHP-1485</t>
        </is>
      </c>
      <c r="B486" s="2" t="inlineStr">
        <is>
          <t>2026-01-31</t>
        </is>
      </c>
      <c r="C486" s="2" t="inlineStr">
        <is>
          <t>2026-02-02</t>
        </is>
      </c>
      <c r="D486" s="3" t="inlineStr">
        <is>
          <t>Hub-East</t>
        </is>
      </c>
      <c r="E486" s="3" t="inlineStr">
        <is>
          <t>Pune</t>
        </is>
      </c>
      <c r="F486" s="3" t="inlineStr">
        <is>
          <t>MetroEx</t>
        </is>
      </c>
      <c r="G486" s="3" t="inlineStr">
        <is>
          <t>Air</t>
        </is>
      </c>
      <c r="H486" s="4" t="n">
        <v>12</v>
      </c>
      <c r="I486" s="5" t="n">
        <v>1341.67</v>
      </c>
      <c r="J486" s="2" t="inlineStr">
        <is>
          <t>Delivered</t>
        </is>
      </c>
      <c r="K486" s="4" t="n">
        <v>2</v>
      </c>
      <c r="L486" s="4" t="n">
        <v>1</v>
      </c>
      <c r="M486" s="4">
        <f>C486-B486</f>
        <v/>
      </c>
      <c r="N486" s="5">
        <f>I486/H486</f>
        <v/>
      </c>
      <c r="O486" s="2">
        <f>IF(J486="Cancelled","N/A",IF(L486&lt;=K486,"On Time","Late"))</f>
        <v/>
      </c>
    </row>
    <row r="487">
      <c r="A487" s="6" t="inlineStr">
        <is>
          <t>SHP-1486</t>
        </is>
      </c>
      <c r="B487" s="6" t="inlineStr">
        <is>
          <t>2026-02-05</t>
        </is>
      </c>
      <c r="C487" s="6" t="inlineStr">
        <is>
          <t>2026-02-06</t>
        </is>
      </c>
      <c r="D487" s="7" t="inlineStr">
        <is>
          <t>Hub-West</t>
        </is>
      </c>
      <c r="E487" s="7" t="inlineStr">
        <is>
          <t>Ahmedabad</t>
        </is>
      </c>
      <c r="F487" s="7" t="inlineStr">
        <is>
          <t>ApexCargo</t>
        </is>
      </c>
      <c r="G487" s="7" t="inlineStr">
        <is>
          <t>Air</t>
        </is>
      </c>
      <c r="H487" s="8" t="n">
        <v>111</v>
      </c>
      <c r="I487" s="9" t="n">
        <v>10405.85</v>
      </c>
      <c r="J487" s="6" t="inlineStr">
        <is>
          <t>In Transit</t>
        </is>
      </c>
      <c r="K487" s="8" t="n">
        <v>2</v>
      </c>
      <c r="L487" s="8" t="n">
        <v>2</v>
      </c>
      <c r="M487" s="8">
        <f>C487-B487</f>
        <v/>
      </c>
      <c r="N487" s="9">
        <f>I487/H487</f>
        <v/>
      </c>
      <c r="O487" s="6">
        <f>IF(J487="Cancelled","N/A",IF(L487&lt;=K487,"On Time","Late"))</f>
        <v/>
      </c>
    </row>
    <row r="488">
      <c r="A488" s="2" t="inlineStr">
        <is>
          <t>SHP-1487</t>
        </is>
      </c>
      <c r="B488" s="2" t="inlineStr">
        <is>
          <t>2026-01-15</t>
        </is>
      </c>
      <c r="C488" s="2" t="inlineStr">
        <is>
          <t>2026-01-16</t>
        </is>
      </c>
      <c r="D488" s="3" t="inlineStr">
        <is>
          <t>Hub-East</t>
        </is>
      </c>
      <c r="E488" s="3" t="inlineStr">
        <is>
          <t>Ahmedabad</t>
        </is>
      </c>
      <c r="F488" s="3" t="inlineStr">
        <is>
          <t>ApexCargo</t>
        </is>
      </c>
      <c r="G488" s="3" t="inlineStr">
        <is>
          <t>Ground</t>
        </is>
      </c>
      <c r="H488" s="4" t="n">
        <v>414</v>
      </c>
      <c r="I488" s="5" t="n">
        <v>16680.38</v>
      </c>
      <c r="J488" s="2" t="inlineStr">
        <is>
          <t>Delivered</t>
        </is>
      </c>
      <c r="K488" s="4" t="n">
        <v>5</v>
      </c>
      <c r="L488" s="4" t="n">
        <v>5</v>
      </c>
      <c r="M488" s="4">
        <f>C488-B488</f>
        <v/>
      </c>
      <c r="N488" s="5">
        <f>I488/H488</f>
        <v/>
      </c>
      <c r="O488" s="2">
        <f>IF(J488="Cancelled","N/A",IF(L488&lt;=K488,"On Time","Late"))</f>
        <v/>
      </c>
    </row>
    <row r="489">
      <c r="A489" s="6" t="inlineStr">
        <is>
          <t>SHP-1488</t>
        </is>
      </c>
      <c r="B489" s="6" t="inlineStr">
        <is>
          <t>2026-02-11</t>
        </is>
      </c>
      <c r="C489" s="6" t="inlineStr">
        <is>
          <t>2026-02-13</t>
        </is>
      </c>
      <c r="D489" s="7" t="inlineStr">
        <is>
          <t>Hub-North</t>
        </is>
      </c>
      <c r="E489" s="7" t="inlineStr">
        <is>
          <t>Ahmedabad</t>
        </is>
      </c>
      <c r="F489" s="7" t="inlineStr">
        <is>
          <t>SwiftLog</t>
        </is>
      </c>
      <c r="G489" s="7" t="inlineStr">
        <is>
          <t>Ground</t>
        </is>
      </c>
      <c r="H489" s="8" t="n">
        <v>243</v>
      </c>
      <c r="I489" s="9" t="n">
        <v>6738.99</v>
      </c>
      <c r="J489" s="6" t="inlineStr">
        <is>
          <t>Cancelled</t>
        </is>
      </c>
      <c r="K489" s="8" t="n">
        <v>3</v>
      </c>
      <c r="L489" s="8" t="n">
        <v>0</v>
      </c>
      <c r="M489" s="8">
        <f>C489-B489</f>
        <v/>
      </c>
      <c r="N489" s="9">
        <f>I489/H489</f>
        <v/>
      </c>
      <c r="O489" s="6">
        <f>IF(J489="Cancelled","N/A",IF(L489&lt;=K489,"On Time","Late"))</f>
        <v/>
      </c>
    </row>
    <row r="490">
      <c r="A490" s="2" t="inlineStr">
        <is>
          <t>SHP-1489</t>
        </is>
      </c>
      <c r="B490" s="2" t="inlineStr">
        <is>
          <t>2026-02-09</t>
        </is>
      </c>
      <c r="C490" s="2" t="inlineStr">
        <is>
          <t>2026-02-10</t>
        </is>
      </c>
      <c r="D490" s="3" t="inlineStr">
        <is>
          <t>Hub-North</t>
        </is>
      </c>
      <c r="E490" s="3" t="inlineStr">
        <is>
          <t>Pune</t>
        </is>
      </c>
      <c r="F490" s="3" t="inlineStr">
        <is>
          <t>SwiftLog</t>
        </is>
      </c>
      <c r="G490" s="3" t="inlineStr">
        <is>
          <t>Air</t>
        </is>
      </c>
      <c r="H490" s="4" t="n">
        <v>14</v>
      </c>
      <c r="I490" s="5" t="n">
        <v>1264.55</v>
      </c>
      <c r="J490" s="2" t="inlineStr">
        <is>
          <t>Delivered</t>
        </is>
      </c>
      <c r="K490" s="4" t="n">
        <v>1</v>
      </c>
      <c r="L490" s="4" t="n">
        <v>1</v>
      </c>
      <c r="M490" s="4">
        <f>C490-B490</f>
        <v/>
      </c>
      <c r="N490" s="5">
        <f>I490/H490</f>
        <v/>
      </c>
      <c r="O490" s="2">
        <f>IF(J490="Cancelled","N/A",IF(L490&lt;=K490,"On Time","Late"))</f>
        <v/>
      </c>
    </row>
    <row r="491">
      <c r="A491" s="6" t="inlineStr">
        <is>
          <t>SHP-1490</t>
        </is>
      </c>
      <c r="B491" s="6" t="inlineStr">
        <is>
          <t>2026-01-19</t>
        </is>
      </c>
      <c r="C491" s="6" t="inlineStr">
        <is>
          <t>2026-01-20</t>
        </is>
      </c>
      <c r="D491" s="7" t="inlineStr">
        <is>
          <t>Hub-West</t>
        </is>
      </c>
      <c r="E491" s="7" t="inlineStr">
        <is>
          <t>Pune</t>
        </is>
      </c>
      <c r="F491" s="7" t="inlineStr">
        <is>
          <t>ApexCargo</t>
        </is>
      </c>
      <c r="G491" s="7" t="inlineStr">
        <is>
          <t>Ground</t>
        </is>
      </c>
      <c r="H491" s="8" t="n">
        <v>269</v>
      </c>
      <c r="I491" s="9" t="n">
        <v>7210.26</v>
      </c>
      <c r="J491" s="6" t="inlineStr">
        <is>
          <t>Cancelled</t>
        </is>
      </c>
      <c r="K491" s="8" t="n">
        <v>3</v>
      </c>
      <c r="L491" s="8" t="n">
        <v>0</v>
      </c>
      <c r="M491" s="8">
        <f>C491-B491</f>
        <v/>
      </c>
      <c r="N491" s="9">
        <f>I491/H491</f>
        <v/>
      </c>
      <c r="O491" s="6">
        <f>IF(J491="Cancelled","N/A",IF(L491&lt;=K491,"On Time","Late"))</f>
        <v/>
      </c>
    </row>
    <row r="492">
      <c r="A492" s="2" t="inlineStr">
        <is>
          <t>SHP-1491</t>
        </is>
      </c>
      <c r="B492" s="2" t="inlineStr">
        <is>
          <t>2026-01-14</t>
        </is>
      </c>
      <c r="C492" s="2" t="inlineStr">
        <is>
          <t>2026-01-15</t>
        </is>
      </c>
      <c r="D492" s="3" t="inlineStr">
        <is>
          <t>Hub-South</t>
        </is>
      </c>
      <c r="E492" s="3" t="inlineStr">
        <is>
          <t>Kolkata</t>
        </is>
      </c>
      <c r="F492" s="3" t="inlineStr">
        <is>
          <t>MetroEx</t>
        </is>
      </c>
      <c r="G492" s="3" t="inlineStr">
        <is>
          <t>Air</t>
        </is>
      </c>
      <c r="H492" s="4" t="n">
        <v>128</v>
      </c>
      <c r="I492" s="5" t="n">
        <v>14002.27</v>
      </c>
      <c r="J492" s="2" t="inlineStr">
        <is>
          <t>Delayed</t>
        </is>
      </c>
      <c r="K492" s="4" t="n">
        <v>1</v>
      </c>
      <c r="L492" s="4" t="n">
        <v>3</v>
      </c>
      <c r="M492" s="4">
        <f>C492-B492</f>
        <v/>
      </c>
      <c r="N492" s="5">
        <f>I492/H492</f>
        <v/>
      </c>
      <c r="O492" s="2">
        <f>IF(J492="Cancelled","N/A",IF(L492&lt;=K492,"On Time","Late"))</f>
        <v/>
      </c>
    </row>
    <row r="493">
      <c r="A493" s="6" t="inlineStr">
        <is>
          <t>SHP-1492</t>
        </is>
      </c>
      <c r="B493" s="6" t="inlineStr">
        <is>
          <t>2026-01-10</t>
        </is>
      </c>
      <c r="C493" s="6" t="inlineStr">
        <is>
          <t>2026-01-10</t>
        </is>
      </c>
      <c r="D493" s="7" t="inlineStr">
        <is>
          <t>Hub-North</t>
        </is>
      </c>
      <c r="E493" s="7" t="inlineStr">
        <is>
          <t>Ahmedabad</t>
        </is>
      </c>
      <c r="F493" s="7" t="inlineStr">
        <is>
          <t>SwiftLog</t>
        </is>
      </c>
      <c r="G493" s="7" t="inlineStr">
        <is>
          <t>Rail</t>
        </is>
      </c>
      <c r="H493" s="8" t="n">
        <v>1462</v>
      </c>
      <c r="I493" s="9" t="n">
        <v>20199.05</v>
      </c>
      <c r="J493" s="6" t="inlineStr">
        <is>
          <t>In Transit</t>
        </is>
      </c>
      <c r="K493" s="8" t="n">
        <v>7</v>
      </c>
      <c r="L493" s="8" t="n">
        <v>7</v>
      </c>
      <c r="M493" s="8">
        <f>C493-B493</f>
        <v/>
      </c>
      <c r="N493" s="9">
        <f>I493/H493</f>
        <v/>
      </c>
      <c r="O493" s="6">
        <f>IF(J493="Cancelled","N/A",IF(L493&lt;=K493,"On Time","Late"))</f>
        <v/>
      </c>
    </row>
    <row r="494">
      <c r="A494" s="2" t="inlineStr">
        <is>
          <t>SHP-1493</t>
        </is>
      </c>
      <c r="B494" s="2" t="inlineStr">
        <is>
          <t>2026-01-01</t>
        </is>
      </c>
      <c r="C494" s="2" t="inlineStr">
        <is>
          <t>2026-01-01</t>
        </is>
      </c>
      <c r="D494" s="3" t="inlineStr">
        <is>
          <t>Hub-West</t>
        </is>
      </c>
      <c r="E494" s="3" t="inlineStr">
        <is>
          <t>Ahmedabad</t>
        </is>
      </c>
      <c r="F494" s="3" t="inlineStr">
        <is>
          <t>MetroEx</t>
        </is>
      </c>
      <c r="G494" s="3" t="inlineStr">
        <is>
          <t>Ground</t>
        </is>
      </c>
      <c r="H494" s="4" t="n">
        <v>527</v>
      </c>
      <c r="I494" s="5" t="n">
        <v>23657.4</v>
      </c>
      <c r="J494" s="2" t="inlineStr">
        <is>
          <t>Cancelled</t>
        </is>
      </c>
      <c r="K494" s="4" t="n">
        <v>3</v>
      </c>
      <c r="L494" s="4" t="n">
        <v>0</v>
      </c>
      <c r="M494" s="4">
        <f>C494-B494</f>
        <v/>
      </c>
      <c r="N494" s="5">
        <f>I494/H494</f>
        <v/>
      </c>
      <c r="O494" s="2">
        <f>IF(J494="Cancelled","N/A",IF(L494&lt;=K494,"On Time","Late"))</f>
        <v/>
      </c>
    </row>
    <row r="495">
      <c r="A495" s="6" t="inlineStr">
        <is>
          <t>SHP-1494</t>
        </is>
      </c>
      <c r="B495" s="6" t="inlineStr">
        <is>
          <t>2026-01-07</t>
        </is>
      </c>
      <c r="C495" s="6" t="inlineStr">
        <is>
          <t>2026-01-09</t>
        </is>
      </c>
      <c r="D495" s="7" t="inlineStr">
        <is>
          <t>Hub-West</t>
        </is>
      </c>
      <c r="E495" s="7" t="inlineStr">
        <is>
          <t>Pune</t>
        </is>
      </c>
      <c r="F495" s="7" t="inlineStr">
        <is>
          <t>MetroEx</t>
        </is>
      </c>
      <c r="G495" s="7" t="inlineStr">
        <is>
          <t>Rail</t>
        </is>
      </c>
      <c r="H495" s="8" t="n">
        <v>1139</v>
      </c>
      <c r="I495" s="9" t="n">
        <v>24331.49</v>
      </c>
      <c r="J495" s="6" t="inlineStr">
        <is>
          <t>Delivered</t>
        </is>
      </c>
      <c r="K495" s="8" t="n">
        <v>6</v>
      </c>
      <c r="L495" s="8" t="n">
        <v>8</v>
      </c>
      <c r="M495" s="8">
        <f>C495-B495</f>
        <v/>
      </c>
      <c r="N495" s="9">
        <f>I495/H495</f>
        <v/>
      </c>
      <c r="O495" s="6">
        <f>IF(J495="Cancelled","N/A",IF(L495&lt;=K495,"On Time","Late"))</f>
        <v/>
      </c>
    </row>
    <row r="496">
      <c r="A496" s="2" t="inlineStr">
        <is>
          <t>SHP-1495</t>
        </is>
      </c>
      <c r="B496" s="2" t="inlineStr">
        <is>
          <t>2026-02-05</t>
        </is>
      </c>
      <c r="C496" s="2" t="inlineStr">
        <is>
          <t>2026-02-07</t>
        </is>
      </c>
      <c r="D496" s="3" t="inlineStr">
        <is>
          <t>Hub-East</t>
        </is>
      </c>
      <c r="E496" s="3" t="inlineStr">
        <is>
          <t>Kolkata</t>
        </is>
      </c>
      <c r="F496" s="3" t="inlineStr">
        <is>
          <t>MetroEx</t>
        </is>
      </c>
      <c r="G496" s="3" t="inlineStr">
        <is>
          <t>Rail</t>
        </is>
      </c>
      <c r="H496" s="4" t="n">
        <v>1111</v>
      </c>
      <c r="I496" s="5" t="n">
        <v>15539.82</v>
      </c>
      <c r="J496" s="2" t="inlineStr">
        <is>
          <t>Delivered</t>
        </is>
      </c>
      <c r="K496" s="4" t="n">
        <v>5</v>
      </c>
      <c r="L496" s="4" t="n">
        <v>4</v>
      </c>
      <c r="M496" s="4">
        <f>C496-B496</f>
        <v/>
      </c>
      <c r="N496" s="5">
        <f>I496/H496</f>
        <v/>
      </c>
      <c r="O496" s="2">
        <f>IF(J496="Cancelled","N/A",IF(L496&lt;=K496,"On Time","Late"))</f>
        <v/>
      </c>
    </row>
    <row r="497">
      <c r="A497" s="6" t="inlineStr">
        <is>
          <t>SHP-1496</t>
        </is>
      </c>
      <c r="B497" s="6" t="inlineStr">
        <is>
          <t>2026-01-16</t>
        </is>
      </c>
      <c r="C497" s="6" t="inlineStr">
        <is>
          <t>2026-01-17</t>
        </is>
      </c>
      <c r="D497" s="7" t="inlineStr">
        <is>
          <t>Hub-North</t>
        </is>
      </c>
      <c r="E497" s="7" t="inlineStr">
        <is>
          <t>Mumbai</t>
        </is>
      </c>
      <c r="F497" s="7" t="inlineStr">
        <is>
          <t>SwiftLog</t>
        </is>
      </c>
      <c r="G497" s="7" t="inlineStr">
        <is>
          <t>Air</t>
        </is>
      </c>
      <c r="H497" s="8" t="n">
        <v>40</v>
      </c>
      <c r="I497" s="9" t="n">
        <v>3954.13</v>
      </c>
      <c r="J497" s="6" t="inlineStr">
        <is>
          <t>Delivered</t>
        </is>
      </c>
      <c r="K497" s="8" t="n">
        <v>1</v>
      </c>
      <c r="L497" s="8" t="n">
        <v>1</v>
      </c>
      <c r="M497" s="8">
        <f>C497-B497</f>
        <v/>
      </c>
      <c r="N497" s="9">
        <f>I497/H497</f>
        <v/>
      </c>
      <c r="O497" s="6">
        <f>IF(J497="Cancelled","N/A",IF(L497&lt;=K497,"On Time","Late"))</f>
        <v/>
      </c>
    </row>
    <row r="498">
      <c r="A498" s="2" t="inlineStr">
        <is>
          <t>SHP-1497</t>
        </is>
      </c>
      <c r="B498" s="2" t="inlineStr">
        <is>
          <t>2026-02-07</t>
        </is>
      </c>
      <c r="C498" s="2" t="inlineStr">
        <is>
          <t>2026-02-08</t>
        </is>
      </c>
      <c r="D498" s="3" t="inlineStr">
        <is>
          <t>Hub-West</t>
        </is>
      </c>
      <c r="E498" s="3" t="inlineStr">
        <is>
          <t>Hyderabad</t>
        </is>
      </c>
      <c r="F498" s="3" t="inlineStr">
        <is>
          <t>SwiftLog</t>
        </is>
      </c>
      <c r="G498" s="3" t="inlineStr">
        <is>
          <t>Ground</t>
        </is>
      </c>
      <c r="H498" s="4" t="n">
        <v>230</v>
      </c>
      <c r="I498" s="5" t="n">
        <v>8049.63</v>
      </c>
      <c r="J498" s="2" t="inlineStr">
        <is>
          <t>Delayed</t>
        </is>
      </c>
      <c r="K498" s="4" t="n">
        <v>5</v>
      </c>
      <c r="L498" s="4" t="n">
        <v>7</v>
      </c>
      <c r="M498" s="4">
        <f>C498-B498</f>
        <v/>
      </c>
      <c r="N498" s="5">
        <f>I498/H498</f>
        <v/>
      </c>
      <c r="O498" s="2">
        <f>IF(J498="Cancelled","N/A",IF(L498&lt;=K498,"On Time","Late"))</f>
        <v/>
      </c>
    </row>
    <row r="499">
      <c r="A499" s="6" t="inlineStr">
        <is>
          <t>SHP-1498</t>
        </is>
      </c>
      <c r="B499" s="6" t="inlineStr">
        <is>
          <t>2026-01-04</t>
        </is>
      </c>
      <c r="C499" s="6" t="inlineStr">
        <is>
          <t>2026-01-05</t>
        </is>
      </c>
      <c r="D499" s="7" t="inlineStr">
        <is>
          <t>Hub-West</t>
        </is>
      </c>
      <c r="E499" s="7" t="inlineStr">
        <is>
          <t>Delhi</t>
        </is>
      </c>
      <c r="F499" s="7" t="inlineStr">
        <is>
          <t>SwiftLog</t>
        </is>
      </c>
      <c r="G499" s="7" t="inlineStr">
        <is>
          <t>Air</t>
        </is>
      </c>
      <c r="H499" s="8" t="n">
        <v>69</v>
      </c>
      <c r="I499" s="9" t="n">
        <v>6629.93</v>
      </c>
      <c r="J499" s="6" t="inlineStr">
        <is>
          <t>Cancelled</t>
        </is>
      </c>
      <c r="K499" s="8" t="n">
        <v>2</v>
      </c>
      <c r="L499" s="8" t="n">
        <v>0</v>
      </c>
      <c r="M499" s="8">
        <f>C499-B499</f>
        <v/>
      </c>
      <c r="N499" s="9">
        <f>I499/H499</f>
        <v/>
      </c>
      <c r="O499" s="6">
        <f>IF(J499="Cancelled","N/A",IF(L499&lt;=K499,"On Time","Late"))</f>
        <v/>
      </c>
    </row>
    <row r="500">
      <c r="A500" s="2" t="inlineStr">
        <is>
          <t>SHP-1499</t>
        </is>
      </c>
      <c r="B500" s="2" t="inlineStr">
        <is>
          <t>2026-01-13</t>
        </is>
      </c>
      <c r="C500" s="2" t="inlineStr">
        <is>
          <t>2026-01-13</t>
        </is>
      </c>
      <c r="D500" s="3" t="inlineStr">
        <is>
          <t>Hub-South</t>
        </is>
      </c>
      <c r="E500" s="3" t="inlineStr">
        <is>
          <t>Hyderabad</t>
        </is>
      </c>
      <c r="F500" s="3" t="inlineStr">
        <is>
          <t>ApexCargo</t>
        </is>
      </c>
      <c r="G500" s="3" t="inlineStr">
        <is>
          <t>Ground</t>
        </is>
      </c>
      <c r="H500" s="4" t="n">
        <v>278</v>
      </c>
      <c r="I500" s="5" t="n">
        <v>11946.57</v>
      </c>
      <c r="J500" s="2" t="inlineStr">
        <is>
          <t>Cancelled</t>
        </is>
      </c>
      <c r="K500" s="4" t="n">
        <v>4</v>
      </c>
      <c r="L500" s="4" t="n">
        <v>0</v>
      </c>
      <c r="M500" s="4">
        <f>C500-B500</f>
        <v/>
      </c>
      <c r="N500" s="5">
        <f>I500/H500</f>
        <v/>
      </c>
      <c r="O500" s="2">
        <f>IF(J500="Cancelled","N/A",IF(L500&lt;=K500,"On Time","Late"))</f>
        <v/>
      </c>
    </row>
    <row r="501">
      <c r="A501" s="6" t="inlineStr">
        <is>
          <t>SHP-1500</t>
        </is>
      </c>
      <c r="B501" s="6" t="inlineStr">
        <is>
          <t>2026-02-05</t>
        </is>
      </c>
      <c r="C501" s="6" t="inlineStr">
        <is>
          <t>2026-02-06</t>
        </is>
      </c>
      <c r="D501" s="7" t="inlineStr">
        <is>
          <t>Hub-South</t>
        </is>
      </c>
      <c r="E501" s="7" t="inlineStr">
        <is>
          <t>Chennai</t>
        </is>
      </c>
      <c r="F501" s="7" t="inlineStr">
        <is>
          <t>ApexCargo</t>
        </is>
      </c>
      <c r="G501" s="7" t="inlineStr">
        <is>
          <t>Ground</t>
        </is>
      </c>
      <c r="H501" s="8" t="n">
        <v>428</v>
      </c>
      <c r="I501" s="9" t="n">
        <v>13676.01</v>
      </c>
      <c r="J501" s="6" t="inlineStr">
        <is>
          <t>Cancelled</t>
        </is>
      </c>
      <c r="K501" s="8" t="n">
        <v>5</v>
      </c>
      <c r="L501" s="8" t="n">
        <v>0</v>
      </c>
      <c r="M501" s="8">
        <f>C501-B501</f>
        <v/>
      </c>
      <c r="N501" s="9">
        <f>I501/H501</f>
        <v/>
      </c>
      <c r="O501" s="6">
        <f>IF(J501="Cancelled","N/A",IF(L501&lt;=K501,"On Time","Late"))</f>
        <v/>
      </c>
    </row>
  </sheetData>
  <autoFilter ref="A1:O501"/>
  <conditionalFormatting sqref="O2:O501">
    <cfRule type="cellIs" priority="1" operator="equal" dxfId="0">
      <formula>"On Time"</formula>
    </cfRule>
    <cfRule type="cellIs" priority="2" operator="equal" dxfId="1">
      <formula>"Late"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69" customWidth="1" min="2" max="2"/>
    <col width="69" customWidth="1" min="3" max="3"/>
    <col width="73" customWidth="1" min="4" max="4"/>
    <col width="166" customWidth="1" min="5" max="5"/>
    <col width="15" customWidth="1" min="6" max="6"/>
    <col width="98" customWidth="1" min="7" max="7"/>
    <col width="15" customWidth="1" min="8" max="8"/>
  </cols>
  <sheetData>
    <row r="1">
      <c r="A1" s="10" t="inlineStr">
        <is>
          <t>Executive Logistics Performance Summary</t>
        </is>
      </c>
    </row>
    <row r="2">
      <c r="A2" s="11" t="inlineStr">
        <is>
          <t>Real-time analytics and KPI monitoring for supply chain operations</t>
        </is>
      </c>
    </row>
    <row r="3"/>
    <row r="4">
      <c r="A4" s="12" t="inlineStr">
        <is>
          <t>Total Shipments</t>
        </is>
      </c>
      <c r="B4" s="13" t="n"/>
      <c r="C4" s="12" t="inlineStr">
        <is>
          <t>Total Freight Spend</t>
        </is>
      </c>
      <c r="D4" s="13" t="n"/>
      <c r="E4" s="12" t="inlineStr">
        <is>
          <t>Avg Cost / KG</t>
        </is>
      </c>
      <c r="F4" s="13" t="n"/>
      <c r="G4" s="12" t="inlineStr">
        <is>
          <t>On-Time Delivery %</t>
        </is>
      </c>
      <c r="H4" s="13" t="n"/>
    </row>
    <row r="5">
      <c r="A5" s="14">
        <f>COUNTA('Shipment Data'!A2:A501)</f>
        <v/>
      </c>
      <c r="B5" s="13" t="n"/>
      <c r="C5" s="15">
        <f>SUM('Shipment Data'!I2:I501)</f>
        <v/>
      </c>
      <c r="D5" s="13" t="n"/>
      <c r="E5" s="15">
        <f>AVERAGE('Shipment Data'!N2:N501)</f>
        <v/>
      </c>
      <c r="F5" s="13" t="n"/>
      <c r="G5" s="16">
        <f>COUNTIFS('Shipment Data'!O2:O501, "On Time") / COUNTIFS('Shipment Data'!J2:J501, "Delivered")</f>
        <v/>
      </c>
      <c r="H5" s="13" t="n"/>
    </row>
    <row r="6"/>
    <row r="7"/>
    <row r="8">
      <c r="A8" s="17" t="inlineStr">
        <is>
          <t>Carrier Performance Breakdown</t>
        </is>
      </c>
    </row>
    <row r="9">
      <c r="A9" s="18" t="inlineStr">
        <is>
          <t>Carrier</t>
        </is>
      </c>
      <c r="B9" s="18" t="inlineStr">
        <is>
          <t>Shipment Count</t>
        </is>
      </c>
      <c r="C9" s="18" t="inlineStr">
        <is>
          <t>Total Freight Cost ($)</t>
        </is>
      </c>
      <c r="D9" s="18" t="inlineStr">
        <is>
          <t>Avg Actual Days</t>
        </is>
      </c>
      <c r="E9" s="18" t="inlineStr">
        <is>
          <t>On-Time %</t>
        </is>
      </c>
    </row>
    <row r="10">
      <c r="A10" s="19" t="inlineStr">
        <is>
          <t>SwiftLog</t>
        </is>
      </c>
      <c r="B10" s="20">
        <f>COUNTIF('Shipment Data'!F$2:F$501, A10)</f>
        <v/>
      </c>
      <c r="C10" s="21">
        <f>SUMIF('Shipment Data'!F$2:F$501, A10, 'Shipment Data'!I$2:I$501)</f>
        <v/>
      </c>
      <c r="D10" s="22">
        <f>AVERAGEIF('Shipment Data'!F$2:F$501, A10, 'Shipment Data'!L$2:L$501)</f>
        <v/>
      </c>
      <c r="E10" s="23">
        <f>COUNTIFS('Shipment Data'!F$2:F$501, A10, 'Shipment Data'!O$2:O$501, "On Time") / COUNTIFS('Shipment Data'!F$2:F$501, A10, 'Shipment Data'!J$2:J$501, "Delivered")</f>
        <v/>
      </c>
    </row>
    <row r="11">
      <c r="A11" s="19" t="inlineStr">
        <is>
          <t>MetroEx</t>
        </is>
      </c>
      <c r="B11" s="20">
        <f>COUNTIF('Shipment Data'!F$2:F$501, A11)</f>
        <v/>
      </c>
      <c r="C11" s="21">
        <f>SUMIF('Shipment Data'!F$2:F$501, A11, 'Shipment Data'!I$2:I$501)</f>
        <v/>
      </c>
      <c r="D11" s="22">
        <f>AVERAGEIF('Shipment Data'!F$2:F$501, A11, 'Shipment Data'!L$2:L$501)</f>
        <v/>
      </c>
      <c r="E11" s="23">
        <f>COUNTIFS('Shipment Data'!F$2:F$501, A11, 'Shipment Data'!O$2:O$501, "On Time") / COUNTIFS('Shipment Data'!F$2:F$501, A11, 'Shipment Data'!J$2:J$501, "Delivered")</f>
        <v/>
      </c>
    </row>
    <row r="12">
      <c r="A12" s="19" t="inlineStr">
        <is>
          <t>ApexCargo</t>
        </is>
      </c>
      <c r="B12" s="20">
        <f>COUNTIF('Shipment Data'!F$2:F$501, A12)</f>
        <v/>
      </c>
      <c r="C12" s="21">
        <f>SUMIF('Shipment Data'!F$2:F$501, A12, 'Shipment Data'!I$2:I$501)</f>
        <v/>
      </c>
      <c r="D12" s="22">
        <f>AVERAGEIF('Shipment Data'!F$2:F$501, A12, 'Shipment Data'!L$2:L$501)</f>
        <v/>
      </c>
      <c r="E12" s="23">
        <f>COUNTIFS('Shipment Data'!F$2:F$501, A12, 'Shipment Data'!O$2:O$501, "On Time") / COUNTIFS('Shipment Data'!F$2:F$501, A12, 'Shipment Data'!J$2:J$501, "Delivered")</f>
        <v/>
      </c>
    </row>
    <row r="13">
      <c r="A13" s="24" t="inlineStr">
        <is>
          <t>Total / Average</t>
        </is>
      </c>
      <c r="B13" s="25">
        <f>SUM(B10:B12)</f>
        <v/>
      </c>
      <c r="C13" s="26">
        <f>SUM(C10:C12)</f>
        <v/>
      </c>
      <c r="D13" s="27">
        <f>AVERAGE(D10:D12)</f>
        <v/>
      </c>
      <c r="E13" s="28">
        <f>AVERAGE(E10:E12)</f>
        <v/>
      </c>
    </row>
    <row r="14"/>
    <row r="15"/>
    <row r="16">
      <c r="A16" s="17" t="inlineStr">
        <is>
          <t>Transport Mode Analytics</t>
        </is>
      </c>
    </row>
    <row r="17">
      <c r="A17" s="18" t="inlineStr">
        <is>
          <t>Mode</t>
        </is>
      </c>
      <c r="B17" s="18" t="inlineStr">
        <is>
          <t>Total Weight (KG)</t>
        </is>
      </c>
      <c r="C17" s="18" t="inlineStr">
        <is>
          <t>Total Spend ($)</t>
        </is>
      </c>
      <c r="D17" s="18" t="inlineStr">
        <is>
          <t>Avg Cost / KG ($)</t>
        </is>
      </c>
    </row>
    <row r="18">
      <c r="A18" s="19" t="inlineStr">
        <is>
          <t>Air</t>
        </is>
      </c>
      <c r="B18" s="20">
        <f>SUMIF('Shipment Data'!G$2:G$501, A18, 'Shipment Data'!H$2:H$501)</f>
        <v/>
      </c>
      <c r="C18" s="21">
        <f>SUMIF('Shipment Data'!G$2:G$501, A18, 'Shipment Data'!I$2:I$501)</f>
        <v/>
      </c>
      <c r="D18" s="21">
        <f>C18/B18</f>
        <v/>
      </c>
    </row>
    <row r="19">
      <c r="A19" s="19" t="inlineStr">
        <is>
          <t>Ground</t>
        </is>
      </c>
      <c r="B19" s="20">
        <f>SUMIF('Shipment Data'!G$2:G$501, A19, 'Shipment Data'!H$2:H$501)</f>
        <v/>
      </c>
      <c r="C19" s="21">
        <f>SUMIF('Shipment Data'!G$2:G$501, A19, 'Shipment Data'!I$2:I$501)</f>
        <v/>
      </c>
      <c r="D19" s="21">
        <f>C19/B19</f>
        <v/>
      </c>
    </row>
    <row r="20">
      <c r="A20" s="19" t="inlineStr">
        <is>
          <t>Rail</t>
        </is>
      </c>
      <c r="B20" s="20">
        <f>SUMIF('Shipment Data'!G$2:G$501, A20, 'Shipment Data'!H$2:H$501)</f>
        <v/>
      </c>
      <c r="C20" s="21">
        <f>SUMIF('Shipment Data'!G$2:G$501, A20, 'Shipment Data'!I$2:I$501)</f>
        <v/>
      </c>
      <c r="D20" s="21">
        <f>C20/B20</f>
        <v/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2026-08-17T14:06:43Z</dcterms:created>
  <dcterms:modified xmlns:dcterms="http://purl.org/dc/terms/" xmlns:xsi="http://www.w3.org/2001/XMLSchema-instance" xsi:type="dcterms:W3CDTF">2026-08-17T14:06:44Z</dcterms:modified>
</cp:coreProperties>
</file>